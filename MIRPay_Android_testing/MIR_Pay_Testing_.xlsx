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\OneDrive\Desktop\Тест \"/>
    </mc:Choice>
  </mc:AlternateContent>
  <xr:revisionPtr revIDLastSave="0" documentId="13_ncr:20001_{2E747C59-9AF2-422C-8B5C-80695538FFE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01 Тест-план" sheetId="1" r:id="rId1"/>
    <sheet name="02 Чек-лист" sheetId="2" r:id="rId2"/>
    <sheet name="03 Тест-кейсы" sheetId="3" r:id="rId3"/>
    <sheet name="04 Сводка" sheetId="4" r:id="rId4"/>
    <sheet name="05 Уточнения" sheetId="5" r:id="rId5"/>
    <sheet name="06 Баг-репорты" sheetId="6" r:id="rId6"/>
  </sheets>
  <definedNames>
    <definedName name="_xlnm._FilterDatabase" localSheetId="1" hidden="1">'02 Чек-лист'!$A$1:$I$48</definedName>
    <definedName name="_xlnm._FilterDatabase" localSheetId="2" hidden="1">'03 Тест-кейсы'!$A$1:$L$28</definedName>
    <definedName name="_xlnm._FilterDatabase" localSheetId="5" hidden="1">'06 Баг-репорты'!$A$1:$L$7</definedName>
    <definedName name="_xlnm.Print_Titles" localSheetId="0">'01 Тест-план'!$1:$1</definedName>
    <definedName name="_xlnm.Print_Titles" localSheetId="1">'02 Чек-лист'!$1:$1</definedName>
    <definedName name="_xlnm.Print_Titles" localSheetId="2">'03 Тест-кейсы'!$1:$1</definedName>
    <definedName name="_xlnm.Print_Titles" localSheetId="3">'04 Сводка'!$1:$1</definedName>
    <definedName name="_xlnm.Print_Titles" localSheetId="4">'05 Уточнения'!$1:$1</definedName>
    <definedName name="_xlnm.Print_Titles" localSheetId="5">'06 Баг-репорты'!$1:$1</definedName>
  </definedNames>
  <calcPr calcId="191029"/>
  <fileRecoveryPr repairLoad="1"/>
</workbook>
</file>

<file path=xl/calcChain.xml><?xml version="1.0" encoding="utf-8"?>
<calcChain xmlns="http://schemas.openxmlformats.org/spreadsheetml/2006/main">
  <c r="C8" i="4" l="1"/>
  <c r="C7" i="4"/>
  <c r="B7" i="4"/>
  <c r="C6" i="4"/>
  <c r="B6" i="4"/>
  <c r="C5" i="4"/>
  <c r="B5" i="4"/>
  <c r="C4" i="4"/>
  <c r="B4" i="4"/>
  <c r="C3" i="4"/>
  <c r="C9" i="4" s="1"/>
  <c r="B3" i="4"/>
  <c r="B9" i="4" s="1"/>
  <c r="C2" i="4"/>
  <c r="B2" i="4"/>
  <c r="B8" i="4" l="1"/>
</calcChain>
</file>

<file path=xl/sharedStrings.xml><?xml version="1.0" encoding="utf-8"?>
<sst xmlns="http://schemas.openxmlformats.org/spreadsheetml/2006/main" count="875" uniqueCount="546">
  <si>
    <t>Раздел</t>
  </si>
  <si>
    <t>Параметр</t>
  </si>
  <si>
    <t>Значение / описание</t>
  </si>
  <si>
    <t>Общие сведения</t>
  </si>
  <si>
    <t>Приложение</t>
  </si>
  <si>
    <t>MIR Pay</t>
  </si>
  <si>
    <t>Платформа</t>
  </si>
  <si>
    <t>Android 16</t>
  </si>
  <si>
    <t>Устройство</t>
  </si>
  <si>
    <t>Redmi Note 13 Pro+ 5G</t>
  </si>
  <si>
    <t>ОС / прошивка</t>
  </si>
  <si>
    <t>HyperOS 3.0.301.0.WNORUXC0</t>
  </si>
  <si>
    <t>Версия приложения / build</t>
  </si>
  <si>
    <t>1.64.5.330</t>
  </si>
  <si>
    <t>Среда</t>
  </si>
  <si>
    <t>Test / QA</t>
  </si>
  <si>
    <t>Период тестирования</t>
  </si>
  <si>
    <t>28.09.2026–05.10.2026</t>
  </si>
  <si>
    <t>Цель</t>
  </si>
  <si>
    <t>Цель тестирования</t>
  </si>
  <si>
    <t>Проверить основные пользовательские сценарии MIR Pay, обработку сетевых сбоев и прерываний, установку, интерфейс, разрешения, безопасность и регрессию.</t>
  </si>
  <si>
    <t>Область тестирования</t>
  </si>
  <si>
    <t>Входит</t>
  </si>
  <si>
    <t>Установка и первый запуск; привязка карты сканированием и вручную; выбор карты по умолчанию; NFC-оплата; сеть и прерывания; UI и ориентация; разрешения; обработка ошибок; полная регрессия.</t>
  </si>
  <si>
    <t>Не подтверждено требованиями</t>
  </si>
  <si>
    <t>Поддерживаемые банки и карты; требования к интернету при оплате; OTP/3DS; поведение при заблокированном экране; правила повторной оплаты; критерии успешной оплаты.</t>
  </si>
  <si>
    <t>Предусловия</t>
  </si>
  <si>
    <t>Базовые условия оплаты</t>
  </si>
  <si>
    <t>Экран разблокирован, NFC включён, устройство и тестовая карта настроены, интернет доступен, если требуется сценарием, QA-среда готова.</t>
  </si>
  <si>
    <t>Критерии входа</t>
  </si>
  <si>
    <t>Старт тестирования</t>
  </si>
  <si>
    <t>Доступны тестовая сборка и устройство; предоставлены тестовые карты и процедура проверки результата платежа.</t>
  </si>
  <si>
    <t>Критерии выхода</t>
  </si>
  <si>
    <t>Завершение</t>
  </si>
  <si>
    <t>Запланированные проверки выполнены либо помечены как заблокированные; критические дефекты зарегистрированы; результаты задокументированы.</t>
  </si>
  <si>
    <t>Риски</t>
  </si>
  <si>
    <t>Платёжный статус после сбоя сети</t>
  </si>
  <si>
    <t>Не повторять оплату до проверки статуса через утверждённый QA-источник — существует риск дублирования.</t>
  </si>
  <si>
    <t>Недостаток требований</t>
  </si>
  <si>
    <t>Ожидаемые результаты спорных сценариев являются черновыми и требуют подтверждения.</t>
  </si>
  <si>
    <t>Безопасность</t>
  </si>
  <si>
    <t>Чувствительные данные</t>
  </si>
  <si>
    <t>Не помещать реальные PAN, CVV, PIN, OTP и токены в логи, скриншоты и отчёты.</t>
  </si>
  <si>
    <t>ID проверки</t>
  </si>
  <si>
    <t>Test Suite ID</t>
  </si>
  <si>
    <t>Test Suite</t>
  </si>
  <si>
    <t>Проверка</t>
  </si>
  <si>
    <t>Ожидаемый результат</t>
  </si>
  <si>
    <t>Статус</t>
  </si>
  <si>
    <t>Фактический результат</t>
  </si>
  <si>
    <t>Bug ID / ссылка</t>
  </si>
  <si>
    <t>Комментарий</t>
  </si>
  <si>
    <t>CHK-001</t>
  </si>
  <si>
    <t>TS-01</t>
  </si>
  <si>
    <t>Установка и первый запуск</t>
  </si>
  <si>
    <t>Установить приложение из утверждённого QA-источника</t>
  </si>
  <si>
    <t>Установка завершается без ошибки.</t>
  </si>
  <si>
    <t>Пройден</t>
  </si>
  <si>
    <t>Приложение установлено без ошибок</t>
  </si>
  <si>
    <t>CHK-002</t>
  </si>
  <si>
    <t>Запустить приложение впервые</t>
  </si>
  <si>
    <t>Приложение открывается и показывает ожидаемый стартовый экран.</t>
  </si>
  <si>
    <t>Приложение открывается, ожидаемый стартовый экран отображается</t>
  </si>
  <si>
    <t>CHK-003</t>
  </si>
  <si>
    <t>Закрыть и повторно открыть приложение</t>
  </si>
  <si>
    <t>Приложение запускается корректно.</t>
  </si>
  <si>
    <t>CHK-004</t>
  </si>
  <si>
    <t>Удалить приложение</t>
  </si>
  <si>
    <t>Приложение удаляется без ошибки.</t>
  </si>
  <si>
    <t>CHK-005</t>
  </si>
  <si>
    <t>Повторно установить приложение</t>
  </si>
  <si>
    <t>Приложение доступно для настройки после переустановки.</t>
  </si>
  <si>
    <t>Приложение устанавливается, данные повторно успешно добавлены</t>
  </si>
  <si>
    <t>CHK-006</t>
  </si>
  <si>
    <t>Проверить поведение после обновления поверх предыдущей версии</t>
  </si>
  <si>
    <t>Данные и состояние обрабатываются согласно требованиям; сценарий требует подтверждения.</t>
  </si>
  <si>
    <t>Данные и состояние обрабатываются согласно требованиям.</t>
  </si>
  <si>
    <t>CHK-007</t>
  </si>
  <si>
    <t>TS-02</t>
  </si>
  <si>
    <t>Привязка карты и управление картами</t>
  </si>
  <si>
    <t>Добавить карту МИР сканированием при первом запуске</t>
  </si>
  <si>
    <t>Карта распознаётся, доступен следующий шаг.</t>
  </si>
  <si>
    <t>Не пройден</t>
  </si>
  <si>
    <t>При добавлении карты МИР не появляется ошибка о карте другой платёжной системы; карта проходит ожидаемый сценарий.</t>
  </si>
  <si>
    <t>BR-001</t>
  </si>
  <si>
    <t>CHK-008</t>
  </si>
  <si>
    <t>Добавить карту вручную</t>
  </si>
  <si>
    <t>Поля принимают корректные тестовые данные.</t>
  </si>
  <si>
    <t>CHK-009</t>
  </si>
  <si>
    <t>Ввести некорректный номер карты</t>
  </si>
  <si>
    <t>Появляется понятное сообщение об ошибке, всплывающее окно закрывается по нажатию на кнопку "х" или нажатием вне поля</t>
  </si>
  <si>
    <t>BR-002</t>
  </si>
  <si>
    <t>CHK-010</t>
  </si>
  <si>
    <t>Проверить ввод CVV/CVC при добавлении карты</t>
  </si>
  <si>
    <t>Поле CVV/CVC доступно в предусмотренном сценарии; при некорректных данных пользователь получает понятную обратную связь.</t>
  </si>
  <si>
    <t>Поле CVV/CVC не активируется по нажатию, понятное сообщение отсутствует.</t>
  </si>
  <si>
    <t>BR-005</t>
  </si>
  <si>
    <t>CHK-011</t>
  </si>
  <si>
    <t>Отказать камере в разрешении при сканировании</t>
  </si>
  <si>
    <t>Приложение корректно обрабатывает отказ и объясняет доступную альтернативу.</t>
  </si>
  <si>
    <t>CHK-012</t>
  </si>
  <si>
    <t>Выбрать карту по умолчанию</t>
  </si>
  <si>
    <t>Выбор сохраняется согласно требованиям.</t>
  </si>
  <si>
    <t>CHK-013</t>
  </si>
  <si>
    <t>Перезапустить приложение после выбора карты</t>
  </si>
  <si>
    <t>Выбранная карта отображается согласно правилам сохранения.</t>
  </si>
  <si>
    <t>CHK-014</t>
  </si>
  <si>
    <t>TS-03</t>
  </si>
  <si>
    <t>NFC-оплата</t>
  </si>
  <si>
    <t>Выполнить оплату при включённом NFC и подготовленной тестовой карте</t>
  </si>
  <si>
    <t>Результат операции подтверждён, операция появилась в истории платежей.</t>
  </si>
  <si>
    <t>CHK-015</t>
  </si>
  <si>
    <t>Попытаться оплатить при выключенном NFC</t>
  </si>
  <si>
    <t>Пользователь получает понятное сообщение или инструкцию.</t>
  </si>
  <si>
    <t>CHK-016</t>
  </si>
  <si>
    <t>Проверить оплату при заблокированном экране</t>
  </si>
  <si>
    <t>Поведение соответствует требованиям безопасности; требуется подтверждение действий.</t>
  </si>
  <si>
    <t>Приложение требует подтверждение действий.</t>
  </si>
  <si>
    <t>CHK-017</t>
  </si>
  <si>
    <t>Проверить, какая карта используется для оплаты</t>
  </si>
  <si>
    <t>Используется карта, выбранная по правилам приложения и ОС.</t>
  </si>
  <si>
    <t>CHK-018</t>
  </si>
  <si>
    <t>Сверить статус операции при нулевом балансе</t>
  </si>
  <si>
    <t>Статус в MIR Pay соответствует результату, подтверждённому банком/эквайером или утверждённым QA-источником.</t>
  </si>
  <si>
    <t>BR-006</t>
  </si>
  <si>
    <t>CHK-019</t>
  </si>
  <si>
    <t>Проверить отображение ошибки при отказе платёжной операции</t>
  </si>
  <si>
    <t>Отказ отображается корректно, всплывает сообщение об ошибке.</t>
  </si>
  <si>
    <t>CHK-020</t>
  </si>
  <si>
    <t>TS-04</t>
  </si>
  <si>
    <t>Сеть и прерывания</t>
  </si>
  <si>
    <t>Отключить интернет до запуска сценария привязки карты</t>
  </si>
  <si>
    <t>Приложение корректно сообщает о сетевой проблеме.</t>
  </si>
  <si>
    <t>Приложение сообщает о проблеме с сетью</t>
  </si>
  <si>
    <t>CHK-021</t>
  </si>
  <si>
    <t>Переключить Wi-Fi на мобильную сеть</t>
  </si>
  <si>
    <t>Приложение сохраняет работоспособность или сообщает о проблеме.</t>
  </si>
  <si>
    <t>При переключении сети экран загрузки отображается около 2 минут.</t>
  </si>
  <si>
    <t>BR-004</t>
  </si>
  <si>
    <t>CHK-022</t>
  </si>
  <si>
    <t>Переключить мобильную сеть на Wi-Fi</t>
  </si>
  <si>
    <t>Приложение корректно обрабатывает переключение.</t>
  </si>
  <si>
    <t>Приложение продолжает работу корректно</t>
  </si>
  <si>
    <t>CHK-023</t>
  </si>
  <si>
    <t>Получить входящий звонок во время работы приложения</t>
  </si>
  <si>
    <t>После звонка приложение работает корректно.</t>
  </si>
  <si>
    <t>CHK-024</t>
  </si>
  <si>
    <t>Свернуть и вернуть приложение</t>
  </si>
  <si>
    <t>Состояние приложения восстанавливается корректно.</t>
  </si>
  <si>
    <t>CHK-025</t>
  </si>
  <si>
    <t>Получить push-уведомление во время работы приложения</t>
  </si>
  <si>
    <t>Уведомление не нарушает работу текущего сценария.</t>
  </si>
  <si>
    <t>CHK-026</t>
  </si>
  <si>
    <t>Потерять сеть во время операции</t>
  </si>
  <si>
    <t>Статус операции можно безопасно определить; повтор не выполняется до сверки статуса.</t>
  </si>
  <si>
    <t>CHK-027</t>
  </si>
  <si>
    <t>TS-05</t>
  </si>
  <si>
    <t>UI и адаптация</t>
  </si>
  <si>
    <t>Проверить основные экраны на обрезание элементов</t>
  </si>
  <si>
    <t>Элементы отображаются корректно и доступны.</t>
  </si>
  <si>
    <t>CHK-028</t>
  </si>
  <si>
    <t>Проверить портретную ориентацию</t>
  </si>
  <si>
    <t>Контент не обрезан, элементы управления доступны.</t>
  </si>
  <si>
    <t>CHK-029</t>
  </si>
  <si>
    <t>Проверить альбомную ориентацию</t>
  </si>
  <si>
    <t>Поведение соответствует требованиям; если режим не поддерживается, интерфейс остаётся корректным.</t>
  </si>
  <si>
    <t>Интерфейс остаётся корректным</t>
  </si>
  <si>
    <t>CHK-030</t>
  </si>
  <si>
    <t>Проверить длинные сообщения об ошибках</t>
  </si>
  <si>
    <t>Текст читаем, кнопки доступны.</t>
  </si>
  <si>
    <t>CHK-031</t>
  </si>
  <si>
    <t>Проверить системную кнопку «Назад»</t>
  </si>
  <si>
    <t>Навигация работает предсказуемо.</t>
  </si>
  <si>
    <t>Навигация работает предсказуемо, по нажатию приложение возвращает сценарий на шаг назад</t>
  </si>
  <si>
    <t>CHK-032</t>
  </si>
  <si>
    <t>Проверить масштабирование текста/размер шрифта системы</t>
  </si>
  <si>
    <t>Ключевые элементы остаются читаемыми и доступными.</t>
  </si>
  <si>
    <t>CHK-033</t>
  </si>
  <si>
    <t>TS-06</t>
  </si>
  <si>
    <t>Разрешения</t>
  </si>
  <si>
    <t>Разрешить доступ к камере</t>
  </si>
  <si>
    <t>Камера доступна для сканирования карты.</t>
  </si>
  <si>
    <t>CHK-034</t>
  </si>
  <si>
    <t>Запретить доступ к камере</t>
  </si>
  <si>
    <t>Отказ не приводит к падению; доступна ручная альтернатива, если предусмотрена.</t>
  </si>
  <si>
    <t>Отказ не приводит к падению; доступна ручная альтернатива, предлагается иной сценарий (добавление карты вручную)</t>
  </si>
  <si>
    <t>CHK-035</t>
  </si>
  <si>
    <t>Изменить разрешение камеры в настройках Android</t>
  </si>
  <si>
    <t>Приложение корректно реагирует на изменение разрешения.</t>
  </si>
  <si>
    <t>CHK-036</t>
  </si>
  <si>
    <t>Проверить запросы разрешений при первом запуске</t>
  </si>
  <si>
    <t>Запрашиваются только необходимые для сценария разрешения.</t>
  </si>
  <si>
    <t>CHK-037</t>
  </si>
  <si>
    <t>TS-07</t>
  </si>
  <si>
    <t>Безопасность и обработка ошибок</t>
  </si>
  <si>
    <t>Передать некорректные данные в доступные поля</t>
  </si>
  <si>
    <t>Нет падения; сообщение об ошибке понятно.</t>
  </si>
  <si>
    <t>CHK-038</t>
  </si>
  <si>
    <t>Проверить сообщение при сетевом сбое</t>
  </si>
  <si>
    <t>Нет ложного сообщения об успешной оплате.</t>
  </si>
  <si>
    <t>CHK-039</t>
  </si>
  <si>
    <t>Проверить логи на наличие чувствительных данных</t>
  </si>
  <si>
    <t>Реальные PAN, CVV, PIN, OTP и токены не раскрываются.</t>
  </si>
  <si>
    <t>CHK-040</t>
  </si>
  <si>
    <t>Повторить действие после ошибки</t>
  </si>
  <si>
    <t>Нет нежелательного дублирования операции; статус проверен перед повтором.</t>
  </si>
  <si>
    <t>CHK-041</t>
  </si>
  <si>
    <t>TS-08</t>
  </si>
  <si>
    <t>Полная регрессия</t>
  </si>
  <si>
    <t>Повторно проверить запуск приложения</t>
  </si>
  <si>
    <t>Приложение запускается без ошибок после выполнения остальных сценариев.</t>
  </si>
  <si>
    <t>CHK-042</t>
  </si>
  <si>
    <t>Повторно проверить привязку карты</t>
  </si>
  <si>
    <t>Сценарий привязки работает корректно.</t>
  </si>
  <si>
    <t>CHK-043</t>
  </si>
  <si>
    <t>Повторно проверить NFC-оплату</t>
  </si>
  <si>
    <t>Основной сценарий оплаты работает и статус подтверждён.</t>
  </si>
  <si>
    <t>CHK-044</t>
  </si>
  <si>
    <t>Повторно проверить выбор карты по умолчанию</t>
  </si>
  <si>
    <t>Выбор и поведение соответствуют требованиям.</t>
  </si>
  <si>
    <t>CHK-045</t>
  </si>
  <si>
    <t>Проверить приложение после серии прерываний</t>
  </si>
  <si>
    <t>Нет зависаний и критических ошибок.</t>
  </si>
  <si>
    <t>CHK-046</t>
  </si>
  <si>
    <t>Проверить результаты и зарегистрировать дефекты</t>
  </si>
  <si>
    <t>Все результаты задокументированы, дефекты имеют ссылки на проверки.</t>
  </si>
  <si>
    <t>CHK-047</t>
  </si>
  <si>
    <t>Нажать на замаскированный номер карты в разделе «Подробнее»</t>
  </si>
  <si>
    <t>Если раскрытие номера предусмотрено требованиями и политикой безопасности, номер отображается по нажатию; иначе поведение соответствует спецификации.</t>
  </si>
  <si>
    <t>По нажатию на замаскированный номер реакции нет; требование к раскрытию полного номера нужно подтвердить.</t>
  </si>
  <si>
    <t>BR-003</t>
  </si>
  <si>
    <t>Оценка предварительная: сначала подтвердить ожидаемое поведение по требованиям безопасности.</t>
  </si>
  <si>
    <t>Test Case ID</t>
  </si>
  <si>
    <t>Название</t>
  </si>
  <si>
    <t>Тестовые данные</t>
  </si>
  <si>
    <t>Шаги выполнения</t>
  </si>
  <si>
    <t>Примечания</t>
  </si>
  <si>
    <t>TC-001</t>
  </si>
  <si>
    <t>Установка и запуск</t>
  </si>
  <si>
    <t>Установка приложения</t>
  </si>
  <si>
    <t>Устройство поддерживается; доступен утверждённый QA-дистрибутив.</t>
  </si>
  <si>
    <t>QA-сборка MIR Pay</t>
  </si>
  <si>
    <t>1. Открыть дистрибутив.
2. Запустить установку.
3. Дождаться завершения.</t>
  </si>
  <si>
    <t>Приложение установлено; Android не показывает ошибку установки.</t>
  </si>
  <si>
    <t>Установка прошла успешно</t>
  </si>
  <si>
    <t>TC-002</t>
  </si>
  <si>
    <t>Первый запуск</t>
  </si>
  <si>
    <t>Приложение установлено.</t>
  </si>
  <si>
    <t>—</t>
  </si>
  <si>
    <t>1. Нажать на иконку приложения.
2. Дождаться загрузки стартового экрана.</t>
  </si>
  <si>
    <t>Приложение запускается без падения; отображается ожидаемый экран.</t>
  </si>
  <si>
    <t>TC-003</t>
  </si>
  <si>
    <t>Повторный запуск</t>
  </si>
  <si>
    <t>Приложение уже запускалось хотя бы один раз.</t>
  </si>
  <si>
    <t>1. Закрыть приложение.
2. Запустить повторно.</t>
  </si>
  <si>
    <t>Приложение запускается корректно; состояние соответствует правилам приложения.</t>
  </si>
  <si>
    <t>TC-004</t>
  </si>
  <si>
    <t>Удаление приложения</t>
  </si>
  <si>
    <t>1. Открыть настройки Android.
2. Найти MIR Pay.
3. Удалить приложение.</t>
  </si>
  <si>
    <t>Приложение удалено; ОС не показывает ошибку.</t>
  </si>
  <si>
    <t>TC-005</t>
  </si>
  <si>
    <t>Привязка карты</t>
  </si>
  <si>
    <t>Добавление карты МИР сканированием при первом запуске</t>
  </si>
  <si>
    <t>Камера доступна; разрешение выдано; подготовлена разрешённая тестовая карта.</t>
  </si>
  <si>
    <t>Карта банка, системы МИР *5678</t>
  </si>
  <si>
    <t>1. Запустить MIR Pay впервые.
2. Предоставить необходимые разрешения.
3. Начать добавление карты МИР способом сканирования, описанным в баг-репорте.
4. Зафиксировать результат.</t>
  </si>
  <si>
    <t>Карта МИР проходит ожидаемый сценарий добавления; не появляется сообщение о карте другой платёжной системы.</t>
  </si>
  <si>
    <t>Появляется ошибка «Вы пытаетесь добавить карту отличную от системы МИР».</t>
  </si>
  <si>
    <t>TC-006</t>
  </si>
  <si>
    <t>Добавление карты вручную</t>
  </si>
  <si>
    <t>Открыт экран добавления карты; предоставлены разрешённые тестовые данные.</t>
  </si>
  <si>
    <t>Данные карты: номер, дата, СVV</t>
  </si>
  <si>
    <t>1. Выбрать ручной ввод.
2. Заполнить поля корректными тестовыми данными.
3. Нажать кнопку "Продолжить".</t>
  </si>
  <si>
    <t>Формат данных валиден; карта успешно добавляется, пользователь переходит к следующему ожидаемому шагу.</t>
  </si>
  <si>
    <t>TC-007</t>
  </si>
  <si>
    <t>Валидация некорректного номера</t>
  </si>
  <si>
    <t>Открыт экран ручного ввода.</t>
  </si>
  <si>
    <t>Невалидный тестовый номер</t>
  </si>
  <si>
    <t>1. Ввести заведомо некорректный тестовый номер.
2. Попытаться продолжить.</t>
  </si>
  <si>
    <t>Показана ошибка валидации; приложение не падает и не принимает данные как корректные.</t>
  </si>
  <si>
    <t>После ввода невалидных данных появляется модальное окно, которое не закрывается описанными способами.</t>
  </si>
  <si>
    <t>TC-008</t>
  </si>
  <si>
    <t>Отказ в разрешении камеры</t>
  </si>
  <si>
    <t>Приложение установлено; разрешение камеры ещё не предоставлено.</t>
  </si>
  <si>
    <t>1. Запустить сценарий сканирования.
2. На системном запросе запретить доступ.</t>
  </si>
  <si>
    <t>Приложение корректно обрабатывает отказ и не падает; дальнейшие варианты соответствуют требованиям.</t>
  </si>
  <si>
    <t>TC-009</t>
  </si>
  <si>
    <t>Выбор карты по умолчанию</t>
  </si>
  <si>
    <t>Тестовые карты</t>
  </si>
  <si>
    <t>1. Открыть управление картами.
2. Выбрать карту по умолчанию.
3. Перезапустить приложение.
4. Проверить выбранную карту.</t>
  </si>
  <si>
    <t>Выбор сохраняется согласно требованиям и отражается в интерфейсе.</t>
  </si>
  <si>
    <t>TC-010</t>
  </si>
  <si>
    <t>Успешная NFC-оплата</t>
  </si>
  <si>
    <t>NFC включён; экран разблокирован; тестовая карта настроена; доступен тестовый платёжный стенд/терминал.</t>
  </si>
  <si>
    <t>Утверждённый тестовый сценарий</t>
  </si>
  <si>
    <t>1. Убедиться, что NFC включён.
2. Выполнить оплату на тестовом стенде.
3. Проверить статус в приложении и QA-источнике.</t>
  </si>
  <si>
    <t>Успешный статус подтверждён независимым QA-источником; данные в приложении не противоречат ему.</t>
  </si>
  <si>
    <t>TC-011</t>
  </si>
  <si>
    <t>Оплата при выключенном NFC</t>
  </si>
  <si>
    <t>Приложение настроено; NFC можно отключить в системных настройках.</t>
  </si>
  <si>
    <t>1. Отключить NFC.
2. Запустить предусмотренный сценарий оплаты.</t>
  </si>
  <si>
    <t>Пользователь получает понятную инструкцию/ошибку; успешная оплата не заявляется без подтверждения.</t>
  </si>
  <si>
    <t>TC-012</t>
  </si>
  <si>
    <t>Поведение при заблокированном экране</t>
  </si>
  <si>
    <t>Требования к оплате с заблокированным экраном уточнены; тестовый стенд готов.</t>
  </si>
  <si>
    <t>1. Заблокировать экран.
2. Выполнить согласованный сценарий оплаты.
3. Сверить фактическое поведение с требованиями.</t>
  </si>
  <si>
    <t>TC-013</t>
  </si>
  <si>
    <t>Проверка статуса оплаты при нулевом балансе</t>
  </si>
  <si>
    <t>Выполнена тестовая операция.</t>
  </si>
  <si>
    <t>Тестовая карта с нулевым балансом; тестовая операция; независимый QA-источник статуса</t>
  </si>
  <si>
    <t>1. Убедиться, что используется разрешённая тестовая карта с нулевым балансом.
2. Выполнить согласованный тестовый сценарий оплаты.
3. Открыть историю транзакций MIR Pay.
4. Сверить статус с банком/эквайером или утверждённым QA-источником.</t>
  </si>
  <si>
    <t>Приложение отображает статус, соответствующий независимо подтверждённому результату операции.</t>
  </si>
  <si>
    <t>TC-014</t>
  </si>
  <si>
    <t>Нет интернета до привязки карты</t>
  </si>
  <si>
    <t>Приложение установлено; сеть можно отключить.</t>
  </si>
  <si>
    <t>1. Отключить Wi-Fi и мобильные данные.
2. Открыть привязку карты.
3. Продолжить сценарий.</t>
  </si>
  <si>
    <t>Приложение корректно сообщает о недоступности сети либо выполняет действие, если это разрешено требованиями.</t>
  </si>
  <si>
    <t>TC-015</t>
  </si>
  <si>
    <t>Переключение Wi-Fi на мобильную сеть</t>
  </si>
  <si>
    <t>Оба типа сети доступны.</t>
  </si>
  <si>
    <t>1. Запустить приложение.
2. Переключить Wi-Fi на мобильную сеть.
3. Продолжить текущий сценарий.</t>
  </si>
  <si>
    <t>Приложение не зависает; состояние и сообщения соответствуют фактическому подключению.</t>
  </si>
  <si>
    <t>После переключения сети экран загрузки отображается около 2 минут.</t>
  </si>
  <si>
    <t>TC-016</t>
  </si>
  <si>
    <t>Входящий звонок во время работы</t>
  </si>
  <si>
    <t>Приложение открыто на безопасном тестовом экране.</t>
  </si>
  <si>
    <t>Тестовый звонок</t>
  </si>
  <si>
    <t>1. Открыть приложение.
2. Получить входящий звонок.
3. Завершить звонок и вернуться в приложение.</t>
  </si>
  <si>
    <t>После звонка приложение остаётся работоспособным; состояние экрана корректно восстановлено.</t>
  </si>
  <si>
    <t>TC-017</t>
  </si>
  <si>
    <t>Сворачивание и возврат</t>
  </si>
  <si>
    <t>Приложение открыто.</t>
  </si>
  <si>
    <t>1. Свернуть приложение.
2. Подождать несколько секунд.
3. Вернуться в приложение.</t>
  </si>
  <si>
    <t>Приложение восстанавливается без падения; чувствительные экраны защищены согласно требованиям.</t>
  </si>
  <si>
    <t>TC-018</t>
  </si>
  <si>
    <t>Потеря сети во время оплаты</t>
  </si>
  <si>
    <t>Тестовая операция выполняется на разрешённом стенде; есть способ проверить итоговый статус.</t>
  </si>
  <si>
    <t>Тестовая операция</t>
  </si>
  <si>
    <t>1. Запустить оплату.
2. В согласованный момент отключить сеть.
3. Не повторять оплату.
4. Проверить статус через QA-источник.</t>
  </si>
  <si>
    <t>Пользователь получает корректный статус/сообщение; перед повтором операции итог первой попытки установлен.</t>
  </si>
  <si>
    <t>TC-019</t>
  </si>
  <si>
    <t>Проверка основных экранов</t>
  </si>
  <si>
    <t>Приложение установлено и доступно.</t>
  </si>
  <si>
    <t>1. Последовательно открыть основные экраны.
2. Проверить текст, кнопки, отступы и обрезание элементов.</t>
  </si>
  <si>
    <t>Ключевые элементы видимы, читаемы и доступны.</t>
  </si>
  <si>
    <t>TC-020</t>
  </si>
  <si>
    <t>Поворот экрана</t>
  </si>
  <si>
    <t>Требования к поддержке альбомной ориентации уточнены.</t>
  </si>
  <si>
    <t>1. Открыть основной экран.
2. Повернуть устройство.
3. Проверить отображение и состояние.</t>
  </si>
  <si>
    <t>Поведение соответствует требованиям; отсутствуют наложения и потеря состояния.</t>
  </si>
  <si>
    <t>TC-021</t>
  </si>
  <si>
    <t>Изменение разрешения камеры в настройках</t>
  </si>
  <si>
    <t>1. Запретить камеру в настройках Android.
2. Вернуться в приложение.
3. Запустить сканирование.</t>
  </si>
  <si>
    <t>Приложение корректно обрабатывает отсутствие разрешения и предлагает доступный путь продолжения.</t>
  </si>
  <si>
    <t>TC-022</t>
  </si>
  <si>
    <t>Безопасность и ошибки</t>
  </si>
  <si>
    <t>Проверка логов на чувствительные данные</t>
  </si>
  <si>
    <t>Доступны логи QA-сборки; используются только тестовые данные.</t>
  </si>
  <si>
    <t>1. Выполнить тестовую привязку/ошибочный сценарий.
2. Собрать логи.
3. Проверить наличие PAN, CVV, PIN, OTP, токенов.</t>
  </si>
  <si>
    <t>Чувствительные данные не раскрываются в логах; при обнаружении создать дефект с безопасным фрагментом логов.</t>
  </si>
  <si>
    <t>TC-023</t>
  </si>
  <si>
    <t>Обработка ошибки сети</t>
  </si>
  <si>
    <t>Можно безопасно воспроизвести сетевую ошибку.</t>
  </si>
  <si>
    <t>1. Отключить сеть в согласованном сценарии.
2. Выполнить действие, требующее сети.
3. Проверить сообщение и восстановление.</t>
  </si>
  <si>
    <t>Сообщение понятно; приложение не сообщает об успехе без подтверждения.</t>
  </si>
  <si>
    <t>TC-024</t>
  </si>
  <si>
    <t>Защита от дублирования после сбоя</t>
  </si>
  <si>
    <t>Тестовая операция завершена с неопределённым для UI статусом; есть QA-источник проверки.</t>
  </si>
  <si>
    <t>ID тестовой операции</t>
  </si>
  <si>
    <t>1. Зафиксировать ID операции.
2. Проверить её статус в QA-источнике.
3. Только после подтверждения отсутствия операции действовать по процедуре повторной попытки.</t>
  </si>
  <si>
    <t>Нет непреднамеренного дублирования; решение о повторе основано на подтверждённом статусе.</t>
  </si>
  <si>
    <t>TC-025</t>
  </si>
  <si>
    <t>Регрессионный прогон основных сценариев</t>
  </si>
  <si>
    <t>Основные проверки завершены; сборка и стенд доступны.</t>
  </si>
  <si>
    <t>Тестовые карты и стенд</t>
  </si>
  <si>
    <t>1. Повторить запуск.
2. Повторить привязку карты.
3. Выполнить согласованную NFC-оплату.
4. Проверить выбор карты и восстановление после прерываний.</t>
  </si>
  <si>
    <t>Критические пользовательские сценарии работают; результаты и дефекты задокументированы.</t>
  </si>
  <si>
    <t>TC-026</t>
  </si>
  <si>
    <t>Нажатие на замаскированный номер карты</t>
  </si>
  <si>
    <t>Карта добавлена; открыт раздел «Подробнее»; поведение сверено с требованиями безопасности.</t>
  </si>
  <si>
    <t>Тестовая карта</t>
  </si>
  <si>
    <t>1. Открыть MIR Pay.
2. Открыть карточку добавленной карты.
3. Перейти в «Подробнее».
4. Нажать на замаскированный номер карты.</t>
  </si>
  <si>
    <t>Реакция соответствует спецификации и политике безопасности; полный номер раскрывается только если это разрешено требованиями.</t>
  </si>
  <si>
    <t>По нажатию реакции нет; необходимость раскрытия полного номера требует подтверждения по спецификации.</t>
  </si>
  <si>
    <t>Оценка предварительная; подтвердить требование перед классификацией как дефекта.</t>
  </si>
  <si>
    <t>TC-027</t>
  </si>
  <si>
    <t>Валидация поля CVV/CVC</t>
  </si>
  <si>
    <t>Открыт экран добавления карты; используется только тестовая карта и тестовые данные.</t>
  </si>
  <si>
    <t>Некорректные тестовые данные карты</t>
  </si>
  <si>
    <t>1. Открыть добавление карты.
2. Ввести данные, вызывающие сценарий валидации.
3. Перейти к полю CVV/CVC.
4. Проверить доступность поля и обратную связь.</t>
  </si>
  <si>
    <t>Поле CVV/CVC работает согласно требованиям; при необходимости ввода/исправления пользователь получает понятную обратную связь.</t>
  </si>
  <si>
    <t>Поле CVV/CVC не активируется по нажатию; понятное сообщение отсутствует.</t>
  </si>
  <si>
    <t>Показатель</t>
  </si>
  <si>
    <t>Чек-лист</t>
  </si>
  <si>
    <t>Тест-кейсы</t>
  </si>
  <si>
    <t>Всего проверок / кейсов</t>
  </si>
  <si>
    <t>Пройдено</t>
  </si>
  <si>
    <t>Не пройдено</t>
  </si>
  <si>
    <t>Заблокировано</t>
  </si>
  <si>
    <t>Не применимо</t>
  </si>
  <si>
    <t>Не выполнено</t>
  </si>
  <si>
    <t>Доля пройденных среди всех</t>
  </si>
  <si>
    <t>Доля пройденных среди завершённых (Пройден + Не пройден)</t>
  </si>
  <si>
    <t>Примечание</t>
  </si>
  <si>
    <t>Статусы выставлены по правилу сопоставления: есть связанный баг-репорт — «Не пройден», нет — «Пройден». Проверить фактический прогон перед использованием как отчёта о завершённом тестировании.</t>
  </si>
  <si>
    <t>ID</t>
  </si>
  <si>
    <t>Область</t>
  </si>
  <si>
    <t>Вопрос</t>
  </si>
  <si>
    <t>Почему важно</t>
  </si>
  <si>
    <t>Ответ / решение</t>
  </si>
  <si>
    <t>Q-01</t>
  </si>
  <si>
    <t>Карты и банки</t>
  </si>
  <si>
    <t>Какие банки и типы карт входят в тестовый объём?</t>
  </si>
  <si>
    <t>Согласовано</t>
  </si>
  <si>
    <t>Влияет на покрытие привязки и оплаты.</t>
  </si>
  <si>
    <t>Принимаются только карты системы МИР, список банков-партнёров предоставлен</t>
  </si>
  <si>
    <t>Q-02</t>
  </si>
  <si>
    <t>Какой именно OTP/3DS или иной процесс подтверждения используется?</t>
  </si>
  <si>
    <t>Открыт</t>
  </si>
  <si>
    <t>Нужно описать ожидаемые шаги и ошибки.</t>
  </si>
  <si>
    <t>Q-03</t>
  </si>
  <si>
    <t>NFC</t>
  </si>
  <si>
    <t>Нужен ли интернет в момент NFC-оплаты и на каких этапах?</t>
  </si>
  <si>
    <t>Определяет сетевые сценарии.</t>
  </si>
  <si>
    <t>Q-04</t>
  </si>
  <si>
    <t>Разрешена ли оплата при заблокированном экране?</t>
  </si>
  <si>
    <t>Нужно для проверки безопасности.</t>
  </si>
  <si>
    <t>Q-05</t>
  </si>
  <si>
    <t>Платёжный статус</t>
  </si>
  <si>
    <t>Какой QA-источник является источником истины для статуса операции?</t>
  </si>
  <si>
    <t>Нужно безопасно проверять результат после сетевых сбоев.</t>
  </si>
  <si>
    <t>Q-06</t>
  </si>
  <si>
    <t>Повторная оплата</t>
  </si>
  <si>
    <t>Каков утверждённый порядок повторной попытки при неопределённом статусе?</t>
  </si>
  <si>
    <t>Предотвращение дублирования.</t>
  </si>
  <si>
    <t>Q-07</t>
  </si>
  <si>
    <t>Карта по умолчанию</t>
  </si>
  <si>
    <t>Как должен сохраняться выбор карты после перезапуска, обновления и переустановки?</t>
  </si>
  <si>
    <t>Определяет ожидаемый результат.</t>
  </si>
  <si>
    <t>Q-08</t>
  </si>
  <si>
    <t>Валидация</t>
  </si>
  <si>
    <t>Какие правила валидации карты и какие тексты ошибок считаются эталонными?</t>
  </si>
  <si>
    <t>Нужны точные ожидаемые результаты.</t>
  </si>
  <si>
    <t>Q-09</t>
  </si>
  <si>
    <t>Ориентация</t>
  </si>
  <si>
    <t>Поддерживается ли альбомная ориентация?</t>
  </si>
  <si>
    <t>Иначе сценарий может быть неприменим.</t>
  </si>
  <si>
    <t>Q-10</t>
  </si>
  <si>
    <t>Устройства</t>
  </si>
  <si>
    <t>Есть ли матрица поддерживаемых версий Android и устройств?</t>
  </si>
  <si>
    <t>Сейчас указано одно устройство.</t>
  </si>
  <si>
    <t>Q-11</t>
  </si>
  <si>
    <t>Установка</t>
  </si>
  <si>
    <t>Какой источник установки и поддерживается ли обновление поверх предыдущей версии?</t>
  </si>
  <si>
    <t>Нужно для воспроизводимости.</t>
  </si>
  <si>
    <t>Q-12</t>
  </si>
  <si>
    <t>Какие разрешения официально требуются приложению и на каких шагах?</t>
  </si>
  <si>
    <t>Для проверки принципа минимальных разрешений.</t>
  </si>
  <si>
    <t>Q-13</t>
  </si>
  <si>
    <t>Логи</t>
  </si>
  <si>
    <t>Какие логи разрешено прикладывать к баг-репортам и как их обезличивать?</t>
  </si>
  <si>
    <t>Не допускать раскрытия платёжных секретов.</t>
  </si>
  <si>
    <t>Q-14</t>
  </si>
  <si>
    <t>Окружение</t>
  </si>
  <si>
    <t>Какие терминалы, тестовые карты и стенды доступны для оплаты?</t>
  </si>
  <si>
    <t>Без них часть проверок может быть заблокирована.</t>
  </si>
  <si>
    <t>Q-15</t>
  </si>
  <si>
    <t>Какие уровни Severity/Priority и критерии завершения приняты командой?</t>
  </si>
  <si>
    <t>Нужно для финального QA-отчёта.</t>
  </si>
  <si>
    <t>Шаги воспроизведения</t>
  </si>
  <si>
    <t>Вложения</t>
  </si>
  <si>
    <t>Severity</t>
  </si>
  <si>
    <t>Priority</t>
  </si>
  <si>
    <t>Воспроизводимость</t>
  </si>
  <si>
    <t>Заметки</t>
  </si>
  <si>
    <t>Ошибка при добавлении карты МИР с помощью сканирования при первом запуске приложения</t>
  </si>
  <si>
    <t>Приложение установлено, но запускается впервые</t>
  </si>
  <si>
    <t>1. Открыть MIR Pay
2. Выдать разрешения приложению
3. Просканировать карту МИР с помощью NFC</t>
  </si>
  <si>
    <t>Карта успешно добавлена</t>
  </si>
  <si>
    <t>Ошибка «Вы пытаетесь добавить карту отличную от системы МИР»</t>
  </si>
  <si>
    <t>Xiaomi Redmi Note 13+ Pro 5G; HyperOS 3.0.301.0.WNORUXC0; версия приложения 1.64.5.330</t>
  </si>
  <si>
    <t>screenshots + logcat
https://drive.google.com/drive/folders/10jWvaFW38a1fCROjavYmH7d_KNWNC8_m?usp=sharing</t>
  </si>
  <si>
    <t>S2 Major</t>
  </si>
  <si>
    <t>P2</t>
  </si>
  <si>
    <t>Всегда</t>
  </si>
  <si>
    <t>Предварительная оценка. Дефект воспроизводится при первом запуске в сценарии добавления карты. Проверить ручное добавление как обходной путь; если карта не добавляется ни одним способом, повысить приоритет до P1.</t>
  </si>
  <si>
    <t>Нет возможности закрыть модальное окно (оповещения/уведомления об ошибке)</t>
  </si>
  <si>
    <t>Приложение установлено</t>
  </si>
  <si>
    <t>1. Открыть MIR Pay
2. Нажать «Добавить карту» на главном экране
3. Добавить карту любым способом, введя невалидные данные
4. Увидеть всплывающее окно с ошибкой</t>
  </si>
  <si>
    <t>После появления модального окна его можно закрыть нажатием вне области окна или кнопкой закрытия («×»)</t>
  </si>
  <si>
    <t>Функции закрытия нет; нажатие вне окна не закрывает его</t>
  </si>
  <si>
    <t>По нажатию на номер карты не открывается полный номер карты/виртуального счёта</t>
  </si>
  <si>
    <t>Приложение установлено, карта добавлена</t>
  </si>
  <si>
    <t>1. Открыть MIR Pay
2. На главном экране выбрать карту и открыть «Подробнее»
3. В данных карты нажать на замаскированный номер карты</t>
  </si>
  <si>
    <t>По нажатию раскрывается полный номер карты, если это предусмотрено требованиями и политикой безопасности</t>
  </si>
  <si>
    <t>Нет реакции; номер карты не раскрывается</t>
  </si>
  <si>
    <t>P4</t>
  </si>
  <si>
    <t>Загрузка приложения более 2 минут при мобильном интернете</t>
  </si>
  <si>
    <t>Устройство подключено к мобильному интернету 3G/4G</t>
  </si>
  <si>
    <t>1. Подключить устройство к мобильному интернету
2. Открыть приложение
3. Зафиксировать длительность отображения экрана загрузки</t>
  </si>
  <si>
    <t>Приложение загружается в приемлемое время при доступном интернете либо показывает понятное сообщение об ошибке/повторе</t>
  </si>
  <si>
    <t>Экран загрузки отображается около 2 минут</t>
  </si>
  <si>
    <t>Зачастую</t>
  </si>
  <si>
    <t>Предварительно S2/P2, если экран загрузки около 2 минут мешает доступу к основным функциям при обычном мобильном интернете. Зафиксировать точное время, тип сети и повторяемость; если задержка редкая и приложение остаётся доступным, пересмотреть на S3/P3.</t>
  </si>
  <si>
    <t>Отсутствует сообщение о необходимости ввести валидные данные для заполнения поля CVV при добавлении новой карты</t>
  </si>
  <si>
    <t>Пользователь получает понятное сообщение о необходимости ввести корректные данные; поле и сценарий ввода имеют ясное состояние</t>
  </si>
  <si>
    <t>Поле не активируется по нажатию, сообщение отсутствует. Пользователь может решить, что поле не работает</t>
  </si>
  <si>
    <t>Сообщение об успешном списании средств при нулевом балансе</t>
  </si>
  <si>
    <t>В приложении добавлена карта с нулевым балансом; устройство поддерживает NFC</t>
  </si>
  <si>
    <t>1. Оплатить покупку с помощью MIR Pay (NFC)
2. Открыть приложение
3. Открыть историю транзакций
4. Проверить статус операции</t>
  </si>
  <si>
    <t>При недостатке средств отображается соответствующее сообщение; при наличии другой добавленной карты предлагается выбрать её</t>
  </si>
  <si>
    <t>В истории транзакций отображается сообщение об успешной оплате при нулевом балансе карты</t>
  </si>
  <si>
    <t>P1</t>
  </si>
  <si>
    <t>Однократно</t>
  </si>
  <si>
    <t>Высокий приоритет из-за риска недостоверного статуса платежа. Сверить статус по данным банка/эквайера или утверждённого QA-источника. Если подтверждено, что приложение сообщает об успешной оплате при фактически отклонённой/несостоявшейся операции, рассмотреть S1 Critical / P1.</t>
  </si>
  <si>
    <t>Примечание по Severity / Priority</t>
  </si>
  <si>
    <t>Предварительно S2/P2: модальное окно не закрывается описанными способами и может блокировать продолжение сценария.</t>
  </si>
  <si>
    <t>При вводе невалидных данных появляется сообщение об ошибке; модальное окно нельзя закрыть предусмотренным способом.</t>
  </si>
  <si>
    <t>1. Открыть MIR Pay
2. На главном экране нажать «Добавить карту»
3. Ввести невалидные данные
4. Нажать на поле CVV</t>
  </si>
  <si>
    <t>P3</t>
  </si>
  <si>
    <t>Предварительно S2/P3, если неактивное поле CVV/CVC блокирует добавление карты и обходного пути нет. Уточнить, является ли дефектом отсутствие сообщения, недоступность поля или оба проявления.</t>
  </si>
  <si>
    <t>В истории приложения отображается сообщение об успешной оплате при нулевом балансе; фактический статус операции требует сверки.</t>
  </si>
  <si>
    <t>Отказ отработан корректно. Предлагаются альтернативные сценарии.</t>
  </si>
  <si>
    <t>Привязано две или более тестовые карты.</t>
  </si>
  <si>
    <t>Подтверждён успешный статус, данные в приложении не противоречат ему.</t>
  </si>
  <si>
    <t>Пользователь получает понятную инструкцию.</t>
  </si>
  <si>
    <t xml:space="preserve">Поведение соответствует утверждённой политике безопасности. </t>
  </si>
  <si>
    <t>В истории MIR Pay отображается сообщение об успешной оплате при нулевом балансе.</t>
  </si>
  <si>
    <t>Фактический статус платежа требует независимой сверки.</t>
  </si>
  <si>
    <t>Приложение корректно выполняет действие.</t>
  </si>
  <si>
    <t>Отсутствуют наложения, интерфейс отображается корректно.</t>
  </si>
  <si>
    <t>Чувствительные данные не раскрываются в логах.</t>
  </si>
  <si>
    <t>Нет дублирования операций.</t>
  </si>
  <si>
    <t>Критические пользовательские сценарии работают согласно требованиям.</t>
  </si>
  <si>
    <t xml:space="preserve">S4 Trivial </t>
  </si>
  <si>
    <t>Требует подтверждения по спецификации: раскрытие полного номера карты может быть не предусмотрено и ограничено требованиями безопасности. До подтверждения требования трактовать как наблюдение, а не окончательно подтверждённый дефект.</t>
  </si>
  <si>
    <t>Уточнить требования</t>
  </si>
  <si>
    <t>В работе</t>
  </si>
  <si>
    <t>Подключение не обязательно</t>
  </si>
  <si>
    <t>Требуется подтверждение действия</t>
  </si>
  <si>
    <t>Сохраняется выбор пользователя. При переустановки по умолчанию - первая добавленная карта.</t>
  </si>
  <si>
    <t>Альбомная ориентация не предусмотрена.</t>
  </si>
  <si>
    <t>Предоставлен список поддреживаемых устройств и версий Android</t>
  </si>
  <si>
    <t>Согласовано, добавлено в требования.</t>
  </si>
  <si>
    <t>В логах должны отстутствовать чувствительные данные (токены, пароли и т.д.), при необходмости и наличии - маскируются.</t>
  </si>
  <si>
    <t>Тестовые стенды, устройства, карты согласованы.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</si>
</sst>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ptos"/>
    </font>
    <font>
      <b/>
      <sz val="11"/>
      <color rgb="FF1F4E78"/>
      <name val="Calibri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43447"/>
      </patternFill>
    </fill>
    <fill>
      <patternFill patternType="solid">
        <fgColor rgb="FFF2F5F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4" fillId="0" borderId="0" xfId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3" fillId="7" borderId="0" xfId="0" applyFont="1" applyFill="1"/>
    <xf numFmtId="0" fontId="4" fillId="0" borderId="0" xfId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0" fillId="0" borderId="0" xfId="0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6"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Сводка по проекту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  <a:prstDash val="solid"/>
            </a:ln>
            <a:sp3d/>
          </c:spPr>
          <c:invertIfNegative val="0"/>
          <c:cat>
            <c:strRef>
              <c:f>'04 Сводка'!$A$2:$A$9</c:f>
              <c:strCache>
                <c:ptCount val="8"/>
                <c:pt idx="0">
                  <c:v>Всего проверок / кейсов</c:v>
                </c:pt>
                <c:pt idx="1">
                  <c:v>Пройдено</c:v>
                </c:pt>
                <c:pt idx="2">
                  <c:v>Не пройдено</c:v>
                </c:pt>
                <c:pt idx="3">
                  <c:v>Заблокировано</c:v>
                </c:pt>
                <c:pt idx="4">
                  <c:v>Не применимо</c:v>
                </c:pt>
                <c:pt idx="5">
                  <c:v>Не выполнено</c:v>
                </c:pt>
                <c:pt idx="6">
                  <c:v>Доля пройденных среди всех</c:v>
                </c:pt>
                <c:pt idx="7">
                  <c:v>Доля пройденных среди завершённых (Пройден + Не пройден)</c:v>
                </c:pt>
              </c:strCache>
            </c:strRef>
          </c:cat>
          <c:val>
            <c:numRef>
              <c:f>'04 Сводка'!$B$2:$B$9</c:f>
              <c:numCache>
                <c:formatCode>General</c:formatCode>
                <c:ptCount val="8"/>
                <c:pt idx="0">
                  <c:v>47</c:v>
                </c:pt>
                <c:pt idx="1">
                  <c:v>41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%">
                  <c:v>0.87234042553191493</c:v>
                </c:pt>
                <c:pt idx="7" formatCode="0.0%">
                  <c:v>0.87234042553191493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AE-469A-A446-F8E039B822B2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  <a:prstDash val="solid"/>
            </a:ln>
            <a:sp3d/>
          </c:spPr>
          <c:invertIfNegative val="0"/>
          <c:cat>
            <c:strRef>
              <c:f>'04 Сводка'!$A$2:$A$9</c:f>
              <c:strCache>
                <c:ptCount val="8"/>
                <c:pt idx="0">
                  <c:v>Всего проверок / кейсов</c:v>
                </c:pt>
                <c:pt idx="1">
                  <c:v>Пройдено</c:v>
                </c:pt>
                <c:pt idx="2">
                  <c:v>Не пройдено</c:v>
                </c:pt>
                <c:pt idx="3">
                  <c:v>Заблокировано</c:v>
                </c:pt>
                <c:pt idx="4">
                  <c:v>Не применимо</c:v>
                </c:pt>
                <c:pt idx="5">
                  <c:v>Не выполнено</c:v>
                </c:pt>
                <c:pt idx="6">
                  <c:v>Доля пройденных среди всех</c:v>
                </c:pt>
                <c:pt idx="7">
                  <c:v>Доля пройденных среди завершённых (Пройден + Не пройден)</c:v>
                </c:pt>
              </c:strCache>
            </c:strRef>
          </c:cat>
          <c:val>
            <c:numRef>
              <c:f>'04 Сводка'!$C$2:$C$9</c:f>
              <c:numCache>
                <c:formatCode>General</c:formatCode>
                <c:ptCount val="8"/>
                <c:pt idx="0">
                  <c:v>27</c:v>
                </c:pt>
                <c:pt idx="1">
                  <c:v>21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%">
                  <c:v>0.77777777777777779</c:v>
                </c:pt>
                <c:pt idx="7" formatCode="0.0%">
                  <c:v>0.77777777777777779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AE-469A-A446-F8E039B82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46917136"/>
        <c:axId val="1446917616"/>
      </c:barChart>
      <c:catAx>
        <c:axId val="144691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6917616"/>
        <c:crosses val="autoZero"/>
        <c:auto val="1"/>
        <c:lblAlgn val="ctr"/>
        <c:lblOffset val="100"/>
        <c:noMultiLvlLbl val="0"/>
      </c:catAx>
      <c:valAx>
        <c:axId val="144691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4691713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389964</xdr:colOff>
      <xdr:row>11</xdr:row>
      <xdr:rowOff>4481</xdr:rowOff>
    </xdr:from>
    <xdr:to>
      <xdr:col>1</xdr:col>
      <xdr:colOff>1671917</xdr:colOff>
      <xdr:row>24</xdr:row>
      <xdr:rowOff>58269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PlanTable" displayName="TestPlanTable" ref="A1:C17">
  <autoFilter ref="A1:C17" xr:uid="{00000000-0009-0000-0100-000001000000}"/>
  <tableColumns count="3">
    <tableColumn id="1" xr3:uid="{00000000-0010-0000-0000-000001000000}" name="Раздел"/>
    <tableColumn id="2" xr3:uid="{00000000-0010-0000-0000-000002000000}" name="Параметр"/>
    <tableColumn id="3" xr3:uid="{00000000-0010-0000-0000-000003000000}" name="Значение / описа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larificationsTable" displayName="ClarificationsTable" ref="A1:F16">
  <autoFilter ref="A1:F16" xr:uid="{00000000-0009-0000-0100-000004000000}"/>
  <tableColumns count="6">
    <tableColumn id="1" xr3:uid="{00000000-0010-0000-0300-000001000000}" name="ID"/>
    <tableColumn id="2" xr3:uid="{00000000-0010-0000-0300-000002000000}" name="Область"/>
    <tableColumn id="3" xr3:uid="{00000000-0010-0000-0300-000003000000}" name="Вопрос"/>
    <tableColumn id="4" xr3:uid="{00000000-0010-0000-0300-000004000000}" name="Статус"/>
    <tableColumn id="5" xr3:uid="{00000000-0010-0000-0300-000005000000}" name="Почему важно"/>
    <tableColumn id="6" xr3:uid="{00000000-0010-0000-0300-000006000000}" name="Ответ / реш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0jWvaFW38a1fCROjavYmH7d_KNWNC8_m?usp=sharing" TargetMode="External"/><Relationship Id="rId2" Type="http://schemas.openxmlformats.org/officeDocument/2006/relationships/hyperlink" Target="https://drive.google.com/drive/folders/10jWvaFW38a1fCROjavYmH7d_KNWNC8_m?usp=sharing" TargetMode="External"/><Relationship Id="rId1" Type="http://schemas.openxmlformats.org/officeDocument/2006/relationships/hyperlink" Target="https://drive.google.com/drive/folders/10jWvaFW38a1fCROjavYmH7d_KNWNC8_m?usp=sharing" TargetMode="External"/><Relationship Id="rId6" Type="http://schemas.openxmlformats.org/officeDocument/2006/relationships/hyperlink" Target="https://drive.google.com/drive/folders/10jWvaFW38a1fCROjavYmH7d_KNWNC8_m?usp=sharing" TargetMode="External"/><Relationship Id="rId5" Type="http://schemas.openxmlformats.org/officeDocument/2006/relationships/hyperlink" Target="https://drive.google.com/drive/folders/10jWvaFW38a1fCROjavYmH7d_KNWNC8_m?usp=sharing" TargetMode="External"/><Relationship Id="rId4" Type="http://schemas.openxmlformats.org/officeDocument/2006/relationships/hyperlink" Target="https://drive.google.com/drive/folders/10jWvaFW38a1fCROjavYmH7d_KNWNC8_m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7"/>
  <sheetViews>
    <sheetView showGridLines="0" zoomScale="85" workbookViewId="0">
      <pane ySplit="1" topLeftCell="A7" activePane="bottomLeft" state="frozen"/>
      <selection pane="bottomLeft" activeCell="C17" sqref="C17"/>
    </sheetView>
  </sheetViews>
  <sheetFormatPr defaultRowHeight="14.4" x14ac:dyDescent="0.3"/>
  <cols>
    <col min="1" max="1" width="23" customWidth="1"/>
    <col min="2" max="2" width="30" customWidth="1"/>
    <col min="3" max="3" width="100" customWidth="1"/>
  </cols>
  <sheetData>
    <row r="1" spans="1:3" ht="31.95" customHeight="1" x14ac:dyDescent="0.3">
      <c r="A1" s="1" t="s">
        <v>0</v>
      </c>
      <c r="B1" s="1" t="s">
        <v>1</v>
      </c>
      <c r="C1" s="1" t="s">
        <v>2</v>
      </c>
    </row>
    <row r="2" spans="1:3" ht="37.950000000000003" customHeight="1" x14ac:dyDescent="0.3">
      <c r="A2" s="2" t="s">
        <v>3</v>
      </c>
      <c r="B2" s="3" t="s">
        <v>4</v>
      </c>
      <c r="C2" s="3" t="s">
        <v>5</v>
      </c>
    </row>
    <row r="3" spans="1:3" ht="37.950000000000003" customHeight="1" x14ac:dyDescent="0.3">
      <c r="A3" s="2" t="s">
        <v>3</v>
      </c>
      <c r="B3" s="3" t="s">
        <v>6</v>
      </c>
      <c r="C3" s="3" t="s">
        <v>7</v>
      </c>
    </row>
    <row r="4" spans="1:3" ht="37.950000000000003" customHeight="1" x14ac:dyDescent="0.3">
      <c r="A4" s="2" t="s">
        <v>3</v>
      </c>
      <c r="B4" s="3" t="s">
        <v>8</v>
      </c>
      <c r="C4" s="3" t="s">
        <v>9</v>
      </c>
    </row>
    <row r="5" spans="1:3" ht="37.950000000000003" customHeight="1" x14ac:dyDescent="0.3">
      <c r="A5" s="2" t="s">
        <v>3</v>
      </c>
      <c r="B5" s="3" t="s">
        <v>10</v>
      </c>
      <c r="C5" s="3" t="s">
        <v>11</v>
      </c>
    </row>
    <row r="6" spans="1:3" ht="37.950000000000003" customHeight="1" x14ac:dyDescent="0.3">
      <c r="A6" s="2" t="s">
        <v>3</v>
      </c>
      <c r="B6" s="3" t="s">
        <v>12</v>
      </c>
      <c r="C6" s="3" t="s">
        <v>13</v>
      </c>
    </row>
    <row r="7" spans="1:3" ht="37.950000000000003" customHeight="1" x14ac:dyDescent="0.3">
      <c r="A7" s="2" t="s">
        <v>3</v>
      </c>
      <c r="B7" s="3" t="s">
        <v>14</v>
      </c>
      <c r="C7" s="3" t="s">
        <v>15</v>
      </c>
    </row>
    <row r="8" spans="1:3" ht="37.950000000000003" customHeight="1" x14ac:dyDescent="0.3">
      <c r="A8" s="2" t="s">
        <v>3</v>
      </c>
      <c r="B8" s="3" t="s">
        <v>16</v>
      </c>
      <c r="C8" s="3" t="s">
        <v>17</v>
      </c>
    </row>
    <row r="9" spans="1:3" ht="37.950000000000003" customHeight="1" x14ac:dyDescent="0.3">
      <c r="A9" s="2" t="s">
        <v>18</v>
      </c>
      <c r="B9" s="3" t="s">
        <v>19</v>
      </c>
      <c r="C9" s="3" t="s">
        <v>20</v>
      </c>
    </row>
    <row r="10" spans="1:3" ht="37.950000000000003" customHeight="1" x14ac:dyDescent="0.3">
      <c r="A10" s="2" t="s">
        <v>21</v>
      </c>
      <c r="B10" s="3" t="s">
        <v>22</v>
      </c>
      <c r="C10" s="3" t="s">
        <v>23</v>
      </c>
    </row>
    <row r="11" spans="1:3" ht="37.950000000000003" customHeight="1" x14ac:dyDescent="0.3">
      <c r="A11" s="2" t="s">
        <v>21</v>
      </c>
      <c r="B11" s="3" t="s">
        <v>24</v>
      </c>
      <c r="C11" s="3" t="s">
        <v>25</v>
      </c>
    </row>
    <row r="12" spans="1:3" ht="37.950000000000003" customHeight="1" x14ac:dyDescent="0.3">
      <c r="A12" s="2" t="s">
        <v>26</v>
      </c>
      <c r="B12" s="3" t="s">
        <v>27</v>
      </c>
      <c r="C12" s="3" t="s">
        <v>28</v>
      </c>
    </row>
    <row r="13" spans="1:3" ht="37.950000000000003" customHeight="1" x14ac:dyDescent="0.3">
      <c r="A13" s="2" t="s">
        <v>29</v>
      </c>
      <c r="B13" s="3" t="s">
        <v>30</v>
      </c>
      <c r="C13" s="3" t="s">
        <v>31</v>
      </c>
    </row>
    <row r="14" spans="1:3" ht="37.950000000000003" customHeight="1" x14ac:dyDescent="0.3">
      <c r="A14" s="2" t="s">
        <v>32</v>
      </c>
      <c r="B14" s="3" t="s">
        <v>33</v>
      </c>
      <c r="C14" s="3" t="s">
        <v>34</v>
      </c>
    </row>
    <row r="15" spans="1:3" ht="37.950000000000003" customHeight="1" x14ac:dyDescent="0.3">
      <c r="A15" s="2" t="s">
        <v>35</v>
      </c>
      <c r="B15" s="3" t="s">
        <v>36</v>
      </c>
      <c r="C15" s="3" t="s">
        <v>37</v>
      </c>
    </row>
    <row r="16" spans="1:3" ht="37.950000000000003" customHeight="1" x14ac:dyDescent="0.3">
      <c r="A16" s="2" t="s">
        <v>35</v>
      </c>
      <c r="B16" s="3" t="s">
        <v>38</v>
      </c>
      <c r="C16" s="3" t="s">
        <v>39</v>
      </c>
    </row>
    <row r="17" spans="1:3" ht="37.950000000000003" customHeight="1" x14ac:dyDescent="0.3">
      <c r="A17" s="2" t="s">
        <v>40</v>
      </c>
      <c r="B17" s="3" t="s">
        <v>41</v>
      </c>
      <c r="C17" s="3" t="s">
        <v>42</v>
      </c>
    </row>
  </sheetData>
  <pageMargins left="0.25" right="0.25" top="1" bottom="1" header="0.5" footer="0.5"/>
  <pageSetup paperSize="9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8"/>
  <sheetViews>
    <sheetView showGridLines="0" topLeftCell="D1" zoomScale="85" workbookViewId="0">
      <pane ySplit="1" topLeftCell="A42" activePane="bottomLeft" state="frozen"/>
      <selection pane="bottomLeft" activeCell="H48" sqref="H48"/>
    </sheetView>
  </sheetViews>
  <sheetFormatPr defaultRowHeight="14.4" x14ac:dyDescent="0.3"/>
  <cols>
    <col min="1" max="1" width="15" customWidth="1"/>
    <col min="2" max="2" width="14" customWidth="1"/>
    <col min="3" max="3" width="33" customWidth="1"/>
    <col min="4" max="4" width="52" customWidth="1"/>
    <col min="5" max="5" width="62" customWidth="1"/>
    <col min="6" max="6" width="18" customWidth="1"/>
    <col min="7" max="7" width="48" customWidth="1"/>
    <col min="8" max="8" width="22" customWidth="1"/>
    <col min="9" max="9" width="35" customWidth="1"/>
  </cols>
  <sheetData>
    <row r="1" spans="1:9" ht="31.95" customHeight="1" x14ac:dyDescent="0.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</row>
    <row r="2" spans="1:9" ht="42" customHeight="1" x14ac:dyDescent="0.3">
      <c r="A2" s="2" t="s">
        <v>52</v>
      </c>
      <c r="B2" s="3" t="s">
        <v>53</v>
      </c>
      <c r="C2" s="3" t="s">
        <v>54</v>
      </c>
      <c r="D2" s="3" t="s">
        <v>55</v>
      </c>
      <c r="E2" s="3" t="s">
        <v>56</v>
      </c>
      <c r="F2" s="9" t="s">
        <v>57</v>
      </c>
      <c r="G2" s="3" t="s">
        <v>58</v>
      </c>
      <c r="H2" s="3"/>
      <c r="I2" s="3"/>
    </row>
    <row r="3" spans="1:9" ht="42" customHeight="1" x14ac:dyDescent="0.3">
      <c r="A3" s="2" t="s">
        <v>59</v>
      </c>
      <c r="B3" s="3" t="s">
        <v>53</v>
      </c>
      <c r="C3" s="3" t="s">
        <v>54</v>
      </c>
      <c r="D3" s="3" t="s">
        <v>60</v>
      </c>
      <c r="E3" s="3" t="s">
        <v>61</v>
      </c>
      <c r="F3" s="9" t="s">
        <v>57</v>
      </c>
      <c r="G3" s="3" t="s">
        <v>62</v>
      </c>
      <c r="H3" s="3"/>
      <c r="I3" s="3"/>
    </row>
    <row r="4" spans="1:9" ht="42" customHeight="1" x14ac:dyDescent="0.3">
      <c r="A4" s="2" t="s">
        <v>63</v>
      </c>
      <c r="B4" s="3" t="s">
        <v>53</v>
      </c>
      <c r="C4" s="3" t="s">
        <v>54</v>
      </c>
      <c r="D4" s="3" t="s">
        <v>64</v>
      </c>
      <c r="E4" s="3" t="s">
        <v>65</v>
      </c>
      <c r="F4" s="9" t="s">
        <v>57</v>
      </c>
      <c r="G4" s="3" t="s">
        <v>65</v>
      </c>
      <c r="H4" s="3"/>
      <c r="I4" s="3"/>
    </row>
    <row r="5" spans="1:9" ht="42" customHeight="1" x14ac:dyDescent="0.3">
      <c r="A5" s="2" t="s">
        <v>66</v>
      </c>
      <c r="B5" s="3" t="s">
        <v>53</v>
      </c>
      <c r="C5" s="3" t="s">
        <v>54</v>
      </c>
      <c r="D5" s="3" t="s">
        <v>67</v>
      </c>
      <c r="E5" s="3" t="s">
        <v>68</v>
      </c>
      <c r="F5" s="9" t="s">
        <v>57</v>
      </c>
      <c r="G5" s="3" t="s">
        <v>68</v>
      </c>
      <c r="H5" s="3"/>
      <c r="I5" s="3"/>
    </row>
    <row r="6" spans="1:9" ht="42" customHeight="1" x14ac:dyDescent="0.3">
      <c r="A6" s="2" t="s">
        <v>69</v>
      </c>
      <c r="B6" s="3" t="s">
        <v>53</v>
      </c>
      <c r="C6" s="3" t="s">
        <v>54</v>
      </c>
      <c r="D6" s="3" t="s">
        <v>70</v>
      </c>
      <c r="E6" s="3" t="s">
        <v>71</v>
      </c>
      <c r="F6" s="9" t="s">
        <v>57</v>
      </c>
      <c r="G6" s="3" t="s">
        <v>72</v>
      </c>
      <c r="H6" s="3"/>
      <c r="I6" s="3"/>
    </row>
    <row r="7" spans="1:9" ht="42" customHeight="1" x14ac:dyDescent="0.3">
      <c r="A7" s="2" t="s">
        <v>73</v>
      </c>
      <c r="B7" s="3" t="s">
        <v>53</v>
      </c>
      <c r="C7" s="3" t="s">
        <v>54</v>
      </c>
      <c r="D7" s="3" t="s">
        <v>74</v>
      </c>
      <c r="E7" s="3" t="s">
        <v>75</v>
      </c>
      <c r="F7" s="9" t="s">
        <v>57</v>
      </c>
      <c r="G7" s="3" t="s">
        <v>76</v>
      </c>
      <c r="H7" s="3"/>
      <c r="I7" s="3"/>
    </row>
    <row r="8" spans="1:9" ht="42" customHeight="1" x14ac:dyDescent="0.3">
      <c r="A8" s="2" t="s">
        <v>77</v>
      </c>
      <c r="B8" s="3" t="s">
        <v>78</v>
      </c>
      <c r="C8" s="3" t="s">
        <v>79</v>
      </c>
      <c r="D8" s="3" t="s">
        <v>80</v>
      </c>
      <c r="E8" s="3" t="s">
        <v>81</v>
      </c>
      <c r="F8" s="9" t="s">
        <v>82</v>
      </c>
      <c r="G8" s="3" t="s">
        <v>83</v>
      </c>
      <c r="H8" s="12" t="s">
        <v>84</v>
      </c>
      <c r="I8" s="3"/>
    </row>
    <row r="9" spans="1:9" ht="42" customHeight="1" x14ac:dyDescent="0.3">
      <c r="A9" s="2" t="s">
        <v>85</v>
      </c>
      <c r="B9" s="3" t="s">
        <v>78</v>
      </c>
      <c r="C9" s="3" t="s">
        <v>79</v>
      </c>
      <c r="D9" s="3" t="s">
        <v>86</v>
      </c>
      <c r="E9" s="3" t="s">
        <v>87</v>
      </c>
      <c r="F9" s="9" t="s">
        <v>57</v>
      </c>
      <c r="G9" s="3" t="s">
        <v>87</v>
      </c>
      <c r="H9" s="3"/>
      <c r="I9" s="3"/>
    </row>
    <row r="10" spans="1:9" ht="42" customHeight="1" x14ac:dyDescent="0.3">
      <c r="A10" s="2" t="s">
        <v>88</v>
      </c>
      <c r="B10" s="3" t="s">
        <v>78</v>
      </c>
      <c r="C10" s="3" t="s">
        <v>79</v>
      </c>
      <c r="D10" s="3" t="s">
        <v>89</v>
      </c>
      <c r="E10" s="3" t="s">
        <v>90</v>
      </c>
      <c r="F10" s="10" t="s">
        <v>82</v>
      </c>
      <c r="G10" s="3" t="s">
        <v>517</v>
      </c>
      <c r="H10" s="12" t="s">
        <v>91</v>
      </c>
      <c r="I10" s="3"/>
    </row>
    <row r="11" spans="1:9" ht="42" customHeight="1" x14ac:dyDescent="0.3">
      <c r="A11" s="2" t="s">
        <v>92</v>
      </c>
      <c r="B11" s="3" t="s">
        <v>78</v>
      </c>
      <c r="C11" s="3" t="s">
        <v>79</v>
      </c>
      <c r="D11" s="3" t="s">
        <v>93</v>
      </c>
      <c r="E11" s="3" t="s">
        <v>94</v>
      </c>
      <c r="F11" s="10" t="s">
        <v>82</v>
      </c>
      <c r="G11" s="3" t="s">
        <v>95</v>
      </c>
      <c r="H11" s="12" t="s">
        <v>96</v>
      </c>
      <c r="I11" s="3"/>
    </row>
    <row r="12" spans="1:9" ht="42" customHeight="1" x14ac:dyDescent="0.3">
      <c r="A12" s="2" t="s">
        <v>97</v>
      </c>
      <c r="B12" s="3" t="s">
        <v>78</v>
      </c>
      <c r="C12" s="3" t="s">
        <v>79</v>
      </c>
      <c r="D12" s="3" t="s">
        <v>98</v>
      </c>
      <c r="E12" s="3" t="s">
        <v>99</v>
      </c>
      <c r="F12" s="9" t="s">
        <v>57</v>
      </c>
      <c r="G12" s="3" t="s">
        <v>99</v>
      </c>
      <c r="H12" s="3"/>
      <c r="I12" s="3"/>
    </row>
    <row r="13" spans="1:9" ht="42" customHeight="1" x14ac:dyDescent="0.3">
      <c r="A13" s="2" t="s">
        <v>100</v>
      </c>
      <c r="B13" s="3" t="s">
        <v>78</v>
      </c>
      <c r="C13" s="3" t="s">
        <v>79</v>
      </c>
      <c r="D13" s="3" t="s">
        <v>101</v>
      </c>
      <c r="E13" s="3" t="s">
        <v>102</v>
      </c>
      <c r="F13" s="9" t="s">
        <v>57</v>
      </c>
      <c r="G13" s="3" t="s">
        <v>102</v>
      </c>
      <c r="H13" s="3"/>
      <c r="I13" s="3"/>
    </row>
    <row r="14" spans="1:9" ht="42" customHeight="1" x14ac:dyDescent="0.3">
      <c r="A14" s="2" t="s">
        <v>103</v>
      </c>
      <c r="B14" s="3" t="s">
        <v>78</v>
      </c>
      <c r="C14" s="3" t="s">
        <v>79</v>
      </c>
      <c r="D14" s="3" t="s">
        <v>104</v>
      </c>
      <c r="E14" s="3" t="s">
        <v>105</v>
      </c>
      <c r="F14" s="9" t="s">
        <v>57</v>
      </c>
      <c r="G14" s="3" t="s">
        <v>105</v>
      </c>
      <c r="H14" s="3"/>
      <c r="I14" s="3"/>
    </row>
    <row r="15" spans="1:9" ht="42" customHeight="1" x14ac:dyDescent="0.3">
      <c r="A15" s="2" t="s">
        <v>106</v>
      </c>
      <c r="B15" s="3" t="s">
        <v>107</v>
      </c>
      <c r="C15" s="3" t="s">
        <v>108</v>
      </c>
      <c r="D15" s="3" t="s">
        <v>109</v>
      </c>
      <c r="E15" s="3" t="s">
        <v>110</v>
      </c>
      <c r="F15" s="9" t="s">
        <v>57</v>
      </c>
      <c r="G15" s="3" t="s">
        <v>110</v>
      </c>
      <c r="H15" s="3"/>
      <c r="I15" s="3"/>
    </row>
    <row r="16" spans="1:9" ht="42" customHeight="1" x14ac:dyDescent="0.3">
      <c r="A16" s="2" t="s">
        <v>111</v>
      </c>
      <c r="B16" s="3" t="s">
        <v>107</v>
      </c>
      <c r="C16" s="3" t="s">
        <v>108</v>
      </c>
      <c r="D16" s="3" t="s">
        <v>112</v>
      </c>
      <c r="E16" s="3" t="s">
        <v>113</v>
      </c>
      <c r="F16" s="9" t="s">
        <v>57</v>
      </c>
      <c r="G16" s="3" t="s">
        <v>113</v>
      </c>
      <c r="H16" s="3"/>
      <c r="I16" s="3"/>
    </row>
    <row r="17" spans="1:9" ht="42" customHeight="1" x14ac:dyDescent="0.3">
      <c r="A17" s="2" t="s">
        <v>114</v>
      </c>
      <c r="B17" s="3" t="s">
        <v>107</v>
      </c>
      <c r="C17" s="3" t="s">
        <v>108</v>
      </c>
      <c r="D17" s="3" t="s">
        <v>115</v>
      </c>
      <c r="E17" s="3" t="s">
        <v>116</v>
      </c>
      <c r="F17" s="9" t="s">
        <v>57</v>
      </c>
      <c r="G17" s="3" t="s">
        <v>117</v>
      </c>
      <c r="H17" s="3"/>
      <c r="I17" s="3"/>
    </row>
    <row r="18" spans="1:9" ht="42" customHeight="1" x14ac:dyDescent="0.3">
      <c r="A18" s="2" t="s">
        <v>118</v>
      </c>
      <c r="B18" s="3" t="s">
        <v>107</v>
      </c>
      <c r="C18" s="3" t="s">
        <v>108</v>
      </c>
      <c r="D18" s="3" t="s">
        <v>119</v>
      </c>
      <c r="E18" s="3" t="s">
        <v>120</v>
      </c>
      <c r="F18" s="9" t="s">
        <v>57</v>
      </c>
      <c r="G18" s="3" t="s">
        <v>120</v>
      </c>
      <c r="H18" s="3"/>
      <c r="I18" s="3"/>
    </row>
    <row r="19" spans="1:9" ht="42" customHeight="1" x14ac:dyDescent="0.3">
      <c r="A19" s="2" t="s">
        <v>121</v>
      </c>
      <c r="B19" s="3" t="s">
        <v>107</v>
      </c>
      <c r="C19" s="3" t="s">
        <v>108</v>
      </c>
      <c r="D19" s="3" t="s">
        <v>122</v>
      </c>
      <c r="E19" s="3" t="s">
        <v>123</v>
      </c>
      <c r="F19" s="10" t="s">
        <v>82</v>
      </c>
      <c r="G19" s="3" t="s">
        <v>521</v>
      </c>
      <c r="H19" s="12" t="s">
        <v>124</v>
      </c>
      <c r="I19" s="3"/>
    </row>
    <row r="20" spans="1:9" ht="42" customHeight="1" x14ac:dyDescent="0.3">
      <c r="A20" s="2" t="s">
        <v>125</v>
      </c>
      <c r="B20" s="3" t="s">
        <v>107</v>
      </c>
      <c r="C20" s="3" t="s">
        <v>108</v>
      </c>
      <c r="D20" s="3" t="s">
        <v>126</v>
      </c>
      <c r="E20" s="3" t="s">
        <v>127</v>
      </c>
      <c r="F20" s="9" t="s">
        <v>57</v>
      </c>
      <c r="G20" s="3" t="s">
        <v>127</v>
      </c>
      <c r="H20" s="3"/>
      <c r="I20" s="3"/>
    </row>
    <row r="21" spans="1:9" ht="42" customHeight="1" x14ac:dyDescent="0.3">
      <c r="A21" s="2" t="s">
        <v>128</v>
      </c>
      <c r="B21" s="3" t="s">
        <v>129</v>
      </c>
      <c r="C21" s="3" t="s">
        <v>130</v>
      </c>
      <c r="D21" s="3" t="s">
        <v>131</v>
      </c>
      <c r="E21" s="3" t="s">
        <v>132</v>
      </c>
      <c r="F21" s="9" t="s">
        <v>57</v>
      </c>
      <c r="G21" s="3" t="s">
        <v>133</v>
      </c>
      <c r="H21" s="3"/>
      <c r="I21" s="3"/>
    </row>
    <row r="22" spans="1:9" ht="42" customHeight="1" x14ac:dyDescent="0.3">
      <c r="A22" s="2" t="s">
        <v>134</v>
      </c>
      <c r="B22" s="3" t="s">
        <v>129</v>
      </c>
      <c r="C22" s="3" t="s">
        <v>130</v>
      </c>
      <c r="D22" s="3" t="s">
        <v>135</v>
      </c>
      <c r="E22" s="3" t="s">
        <v>136</v>
      </c>
      <c r="F22" s="10" t="s">
        <v>82</v>
      </c>
      <c r="G22" s="3" t="s">
        <v>137</v>
      </c>
      <c r="H22" s="12" t="s">
        <v>138</v>
      </c>
      <c r="I22" s="3"/>
    </row>
    <row r="23" spans="1:9" ht="42" customHeight="1" x14ac:dyDescent="0.3">
      <c r="A23" s="2" t="s">
        <v>139</v>
      </c>
      <c r="B23" s="3" t="s">
        <v>129</v>
      </c>
      <c r="C23" s="3" t="s">
        <v>130</v>
      </c>
      <c r="D23" s="3" t="s">
        <v>140</v>
      </c>
      <c r="E23" s="3" t="s">
        <v>141</v>
      </c>
      <c r="F23" s="9" t="s">
        <v>57</v>
      </c>
      <c r="G23" s="3" t="s">
        <v>142</v>
      </c>
      <c r="H23" s="3"/>
      <c r="I23" s="3"/>
    </row>
    <row r="24" spans="1:9" ht="42" customHeight="1" x14ac:dyDescent="0.3">
      <c r="A24" s="2" t="s">
        <v>143</v>
      </c>
      <c r="B24" s="3" t="s">
        <v>129</v>
      </c>
      <c r="C24" s="3" t="s">
        <v>130</v>
      </c>
      <c r="D24" s="3" t="s">
        <v>144</v>
      </c>
      <c r="E24" s="3" t="s">
        <v>145</v>
      </c>
      <c r="F24" s="9" t="s">
        <v>57</v>
      </c>
      <c r="G24" s="3" t="s">
        <v>145</v>
      </c>
      <c r="H24" s="3"/>
      <c r="I24" s="3"/>
    </row>
    <row r="25" spans="1:9" ht="42" customHeight="1" x14ac:dyDescent="0.3">
      <c r="A25" s="2" t="s">
        <v>146</v>
      </c>
      <c r="B25" s="3" t="s">
        <v>129</v>
      </c>
      <c r="C25" s="3" t="s">
        <v>130</v>
      </c>
      <c r="D25" s="3" t="s">
        <v>147</v>
      </c>
      <c r="E25" s="3" t="s">
        <v>148</v>
      </c>
      <c r="F25" s="9" t="s">
        <v>57</v>
      </c>
      <c r="G25" s="3" t="s">
        <v>148</v>
      </c>
      <c r="H25" s="3"/>
      <c r="I25" s="3"/>
    </row>
    <row r="26" spans="1:9" ht="42" customHeight="1" x14ac:dyDescent="0.3">
      <c r="A26" s="2" t="s">
        <v>149</v>
      </c>
      <c r="B26" s="3" t="s">
        <v>129</v>
      </c>
      <c r="C26" s="3" t="s">
        <v>130</v>
      </c>
      <c r="D26" s="3" t="s">
        <v>150</v>
      </c>
      <c r="E26" s="3" t="s">
        <v>151</v>
      </c>
      <c r="F26" s="9" t="s">
        <v>57</v>
      </c>
      <c r="G26" s="3" t="s">
        <v>151</v>
      </c>
      <c r="H26" s="3"/>
      <c r="I26" s="3"/>
    </row>
    <row r="27" spans="1:9" ht="42" customHeight="1" x14ac:dyDescent="0.3">
      <c r="A27" s="2" t="s">
        <v>152</v>
      </c>
      <c r="B27" s="3" t="s">
        <v>129</v>
      </c>
      <c r="C27" s="3" t="s">
        <v>130</v>
      </c>
      <c r="D27" s="3" t="s">
        <v>153</v>
      </c>
      <c r="E27" s="3" t="s">
        <v>154</v>
      </c>
      <c r="F27" s="9" t="s">
        <v>57</v>
      </c>
      <c r="G27" s="3" t="s">
        <v>154</v>
      </c>
      <c r="H27" s="3"/>
      <c r="I27" s="3"/>
    </row>
    <row r="28" spans="1:9" ht="42" customHeight="1" x14ac:dyDescent="0.3">
      <c r="A28" s="2" t="s">
        <v>155</v>
      </c>
      <c r="B28" s="3" t="s">
        <v>156</v>
      </c>
      <c r="C28" s="3" t="s">
        <v>157</v>
      </c>
      <c r="D28" s="3" t="s">
        <v>158</v>
      </c>
      <c r="E28" s="3" t="s">
        <v>159</v>
      </c>
      <c r="F28" s="9" t="s">
        <v>57</v>
      </c>
      <c r="G28" s="3" t="s">
        <v>159</v>
      </c>
      <c r="H28" s="3"/>
      <c r="I28" s="3"/>
    </row>
    <row r="29" spans="1:9" ht="42" customHeight="1" x14ac:dyDescent="0.3">
      <c r="A29" s="2" t="s">
        <v>160</v>
      </c>
      <c r="B29" s="3" t="s">
        <v>156</v>
      </c>
      <c r="C29" s="3" t="s">
        <v>157</v>
      </c>
      <c r="D29" s="3" t="s">
        <v>161</v>
      </c>
      <c r="E29" s="3" t="s">
        <v>162</v>
      </c>
      <c r="F29" s="9" t="s">
        <v>57</v>
      </c>
      <c r="G29" s="3" t="s">
        <v>162</v>
      </c>
      <c r="H29" s="3"/>
      <c r="I29" s="3"/>
    </row>
    <row r="30" spans="1:9" ht="42" customHeight="1" x14ac:dyDescent="0.3">
      <c r="A30" s="2" t="s">
        <v>163</v>
      </c>
      <c r="B30" s="3" t="s">
        <v>156</v>
      </c>
      <c r="C30" s="3" t="s">
        <v>157</v>
      </c>
      <c r="D30" s="3" t="s">
        <v>164</v>
      </c>
      <c r="E30" s="3" t="s">
        <v>165</v>
      </c>
      <c r="F30" s="9" t="s">
        <v>57</v>
      </c>
      <c r="G30" s="3" t="s">
        <v>166</v>
      </c>
      <c r="H30" s="3"/>
      <c r="I30" s="3"/>
    </row>
    <row r="31" spans="1:9" ht="42" customHeight="1" x14ac:dyDescent="0.3">
      <c r="A31" s="2" t="s">
        <v>167</v>
      </c>
      <c r="B31" s="3" t="s">
        <v>156</v>
      </c>
      <c r="C31" s="3" t="s">
        <v>157</v>
      </c>
      <c r="D31" s="3" t="s">
        <v>168</v>
      </c>
      <c r="E31" s="3" t="s">
        <v>169</v>
      </c>
      <c r="F31" s="9" t="s">
        <v>57</v>
      </c>
      <c r="G31" s="3" t="s">
        <v>169</v>
      </c>
      <c r="H31" s="3"/>
      <c r="I31" s="3"/>
    </row>
    <row r="32" spans="1:9" ht="42" customHeight="1" x14ac:dyDescent="0.3">
      <c r="A32" s="2" t="s">
        <v>170</v>
      </c>
      <c r="B32" s="3" t="s">
        <v>156</v>
      </c>
      <c r="C32" s="3" t="s">
        <v>157</v>
      </c>
      <c r="D32" s="3" t="s">
        <v>171</v>
      </c>
      <c r="E32" s="3" t="s">
        <v>172</v>
      </c>
      <c r="F32" s="9" t="s">
        <v>57</v>
      </c>
      <c r="G32" s="3" t="s">
        <v>173</v>
      </c>
      <c r="H32" s="3"/>
      <c r="I32" s="3"/>
    </row>
    <row r="33" spans="1:9" ht="42" customHeight="1" x14ac:dyDescent="0.3">
      <c r="A33" s="2" t="s">
        <v>174</v>
      </c>
      <c r="B33" s="3" t="s">
        <v>156</v>
      </c>
      <c r="C33" s="3" t="s">
        <v>157</v>
      </c>
      <c r="D33" s="3" t="s">
        <v>175</v>
      </c>
      <c r="E33" s="3" t="s">
        <v>176</v>
      </c>
      <c r="F33" s="9" t="s">
        <v>57</v>
      </c>
      <c r="G33" s="3" t="s">
        <v>176</v>
      </c>
      <c r="H33" s="3"/>
      <c r="I33" s="3"/>
    </row>
    <row r="34" spans="1:9" ht="42" customHeight="1" x14ac:dyDescent="0.3">
      <c r="A34" s="2" t="s">
        <v>177</v>
      </c>
      <c r="B34" s="3" t="s">
        <v>178</v>
      </c>
      <c r="C34" s="3" t="s">
        <v>179</v>
      </c>
      <c r="D34" s="3" t="s">
        <v>180</v>
      </c>
      <c r="E34" s="3" t="s">
        <v>181</v>
      </c>
      <c r="F34" s="9" t="s">
        <v>57</v>
      </c>
      <c r="G34" s="3" t="s">
        <v>181</v>
      </c>
      <c r="H34" s="3"/>
      <c r="I34" s="3"/>
    </row>
    <row r="35" spans="1:9" ht="42" customHeight="1" x14ac:dyDescent="0.3">
      <c r="A35" s="2" t="s">
        <v>182</v>
      </c>
      <c r="B35" s="3" t="s">
        <v>178</v>
      </c>
      <c r="C35" s="3" t="s">
        <v>179</v>
      </c>
      <c r="D35" s="3" t="s">
        <v>183</v>
      </c>
      <c r="E35" s="3" t="s">
        <v>184</v>
      </c>
      <c r="F35" s="9" t="s">
        <v>57</v>
      </c>
      <c r="G35" s="3" t="s">
        <v>185</v>
      </c>
      <c r="H35" s="3"/>
      <c r="I35" s="3"/>
    </row>
    <row r="36" spans="1:9" ht="42" customHeight="1" x14ac:dyDescent="0.3">
      <c r="A36" s="2" t="s">
        <v>186</v>
      </c>
      <c r="B36" s="3" t="s">
        <v>178</v>
      </c>
      <c r="C36" s="3" t="s">
        <v>179</v>
      </c>
      <c r="D36" s="3" t="s">
        <v>187</v>
      </c>
      <c r="E36" s="3" t="s">
        <v>188</v>
      </c>
      <c r="F36" s="9" t="s">
        <v>57</v>
      </c>
      <c r="G36" s="3" t="s">
        <v>188</v>
      </c>
      <c r="H36" s="3"/>
      <c r="I36" s="3"/>
    </row>
    <row r="37" spans="1:9" ht="42" customHeight="1" x14ac:dyDescent="0.3">
      <c r="A37" s="2" t="s">
        <v>189</v>
      </c>
      <c r="B37" s="3" t="s">
        <v>178</v>
      </c>
      <c r="C37" s="3" t="s">
        <v>179</v>
      </c>
      <c r="D37" s="3" t="s">
        <v>190</v>
      </c>
      <c r="E37" s="3" t="s">
        <v>191</v>
      </c>
      <c r="F37" s="9" t="s">
        <v>57</v>
      </c>
      <c r="G37" s="3" t="s">
        <v>191</v>
      </c>
      <c r="H37" s="3"/>
      <c r="I37" s="3"/>
    </row>
    <row r="38" spans="1:9" ht="42" customHeight="1" x14ac:dyDescent="0.3">
      <c r="A38" s="2" t="s">
        <v>192</v>
      </c>
      <c r="B38" s="3" t="s">
        <v>193</v>
      </c>
      <c r="C38" s="3" t="s">
        <v>194</v>
      </c>
      <c r="D38" s="3" t="s">
        <v>195</v>
      </c>
      <c r="E38" s="3" t="s">
        <v>196</v>
      </c>
      <c r="F38" s="9" t="s">
        <v>57</v>
      </c>
      <c r="G38" s="3" t="s">
        <v>196</v>
      </c>
      <c r="H38" s="3"/>
      <c r="I38" s="3"/>
    </row>
    <row r="39" spans="1:9" ht="42" customHeight="1" x14ac:dyDescent="0.3">
      <c r="A39" s="2" t="s">
        <v>197</v>
      </c>
      <c r="B39" s="3" t="s">
        <v>193</v>
      </c>
      <c r="C39" s="3" t="s">
        <v>194</v>
      </c>
      <c r="D39" s="3" t="s">
        <v>198</v>
      </c>
      <c r="E39" s="3" t="s">
        <v>199</v>
      </c>
      <c r="F39" s="9" t="s">
        <v>57</v>
      </c>
      <c r="G39" s="3" t="s">
        <v>199</v>
      </c>
      <c r="H39" s="3"/>
      <c r="I39" s="3"/>
    </row>
    <row r="40" spans="1:9" ht="42" customHeight="1" x14ac:dyDescent="0.3">
      <c r="A40" s="2" t="s">
        <v>200</v>
      </c>
      <c r="B40" s="3" t="s">
        <v>193</v>
      </c>
      <c r="C40" s="3" t="s">
        <v>194</v>
      </c>
      <c r="D40" s="3" t="s">
        <v>201</v>
      </c>
      <c r="E40" s="3" t="s">
        <v>202</v>
      </c>
      <c r="F40" s="9" t="s">
        <v>57</v>
      </c>
      <c r="G40" s="3" t="s">
        <v>202</v>
      </c>
      <c r="H40" s="3"/>
      <c r="I40" s="3"/>
    </row>
    <row r="41" spans="1:9" ht="42" customHeight="1" x14ac:dyDescent="0.3">
      <c r="A41" s="2" t="s">
        <v>203</v>
      </c>
      <c r="B41" s="3" t="s">
        <v>193</v>
      </c>
      <c r="C41" s="3" t="s">
        <v>194</v>
      </c>
      <c r="D41" s="3" t="s">
        <v>204</v>
      </c>
      <c r="E41" s="3" t="s">
        <v>205</v>
      </c>
      <c r="F41" s="9" t="s">
        <v>57</v>
      </c>
      <c r="G41" s="3" t="s">
        <v>205</v>
      </c>
      <c r="H41" s="3"/>
      <c r="I41" s="3"/>
    </row>
    <row r="42" spans="1:9" ht="42" customHeight="1" x14ac:dyDescent="0.3">
      <c r="A42" s="2" t="s">
        <v>206</v>
      </c>
      <c r="B42" s="3" t="s">
        <v>207</v>
      </c>
      <c r="C42" s="3" t="s">
        <v>208</v>
      </c>
      <c r="D42" s="3" t="s">
        <v>209</v>
      </c>
      <c r="E42" s="3" t="s">
        <v>210</v>
      </c>
      <c r="F42" s="9" t="s">
        <v>57</v>
      </c>
      <c r="G42" s="3" t="s">
        <v>210</v>
      </c>
      <c r="H42" s="3"/>
      <c r="I42" s="3"/>
    </row>
    <row r="43" spans="1:9" ht="42" customHeight="1" x14ac:dyDescent="0.3">
      <c r="A43" s="2" t="s">
        <v>211</v>
      </c>
      <c r="B43" s="3" t="s">
        <v>207</v>
      </c>
      <c r="C43" s="3" t="s">
        <v>208</v>
      </c>
      <c r="D43" s="3" t="s">
        <v>212</v>
      </c>
      <c r="E43" s="3" t="s">
        <v>213</v>
      </c>
      <c r="F43" s="9" t="s">
        <v>57</v>
      </c>
      <c r="G43" s="3" t="s">
        <v>213</v>
      </c>
      <c r="H43" s="3"/>
      <c r="I43" s="3"/>
    </row>
    <row r="44" spans="1:9" ht="42" customHeight="1" x14ac:dyDescent="0.3">
      <c r="A44" s="2" t="s">
        <v>214</v>
      </c>
      <c r="B44" s="3" t="s">
        <v>207</v>
      </c>
      <c r="C44" s="3" t="s">
        <v>208</v>
      </c>
      <c r="D44" s="3" t="s">
        <v>215</v>
      </c>
      <c r="E44" s="3" t="s">
        <v>216</v>
      </c>
      <c r="F44" s="9" t="s">
        <v>57</v>
      </c>
      <c r="G44" s="3" t="s">
        <v>216</v>
      </c>
      <c r="H44" s="3"/>
      <c r="I44" s="3"/>
    </row>
    <row r="45" spans="1:9" ht="42" customHeight="1" x14ac:dyDescent="0.3">
      <c r="A45" s="2" t="s">
        <v>217</v>
      </c>
      <c r="B45" s="3" t="s">
        <v>207</v>
      </c>
      <c r="C45" s="3" t="s">
        <v>208</v>
      </c>
      <c r="D45" s="3" t="s">
        <v>218</v>
      </c>
      <c r="E45" s="3" t="s">
        <v>219</v>
      </c>
      <c r="F45" s="9" t="s">
        <v>57</v>
      </c>
      <c r="G45" s="3" t="s">
        <v>219</v>
      </c>
      <c r="H45" s="3"/>
      <c r="I45" s="3"/>
    </row>
    <row r="46" spans="1:9" ht="42" customHeight="1" x14ac:dyDescent="0.3">
      <c r="A46" s="2" t="s">
        <v>220</v>
      </c>
      <c r="B46" s="3" t="s">
        <v>207</v>
      </c>
      <c r="C46" s="3" t="s">
        <v>208</v>
      </c>
      <c r="D46" s="3" t="s">
        <v>221</v>
      </c>
      <c r="E46" s="3" t="s">
        <v>222</v>
      </c>
      <c r="F46" s="9" t="s">
        <v>57</v>
      </c>
      <c r="G46" s="3" t="s">
        <v>222</v>
      </c>
      <c r="H46" s="3"/>
      <c r="I46" s="3"/>
    </row>
    <row r="47" spans="1:9" ht="42" customHeight="1" x14ac:dyDescent="0.3">
      <c r="A47" s="2" t="s">
        <v>223</v>
      </c>
      <c r="B47" s="3" t="s">
        <v>207</v>
      </c>
      <c r="C47" s="3" t="s">
        <v>208</v>
      </c>
      <c r="D47" s="3" t="s">
        <v>224</v>
      </c>
      <c r="E47" s="3" t="s">
        <v>225</v>
      </c>
      <c r="F47" s="9" t="s">
        <v>57</v>
      </c>
      <c r="G47" s="3" t="s">
        <v>225</v>
      </c>
      <c r="H47" s="3"/>
      <c r="I47" s="3"/>
    </row>
    <row r="48" spans="1:9" ht="42" customHeight="1" x14ac:dyDescent="0.3">
      <c r="A48" s="2" t="s">
        <v>226</v>
      </c>
      <c r="B48" s="3" t="s">
        <v>78</v>
      </c>
      <c r="C48" s="3" t="s">
        <v>79</v>
      </c>
      <c r="D48" s="3" t="s">
        <v>227</v>
      </c>
      <c r="E48" s="3" t="s">
        <v>228</v>
      </c>
      <c r="F48" s="10" t="s">
        <v>82</v>
      </c>
      <c r="G48" s="3" t="s">
        <v>229</v>
      </c>
      <c r="H48" s="12" t="s">
        <v>230</v>
      </c>
      <c r="I48" s="3" t="s">
        <v>231</v>
      </c>
    </row>
  </sheetData>
  <autoFilter ref="A1:I48" xr:uid="{00000000-0009-0000-0000-000001000000}"/>
  <conditionalFormatting sqref="F2:F47">
    <cfRule type="expression" dxfId="5" priority="1">
      <formula>F2="Пройден"</formula>
    </cfRule>
    <cfRule type="expression" dxfId="4" priority="2">
      <formula>F2="Не пройден"</formula>
    </cfRule>
    <cfRule type="expression" dxfId="3" priority="3">
      <formula>F2="Заблокирован"</formula>
    </cfRule>
  </conditionalFormatting>
  <dataValidations count="1">
    <dataValidation type="list" errorTitle="Недопустимый статус" error="Выберите статус из списка." promptTitle="Статус" prompt="Выберите статус выполнения проверки." sqref="F2:F47" xr:uid="{00000000-0002-0000-0100-000000000000}">
      <formula1>"Не выполнен,Пройден,Не пройден,Заблокирован,Не применимо"</formula1>
    </dataValidation>
  </dataValidations>
  <hyperlinks>
    <hyperlink ref="H8" location="'06 Баг-репорты'!A2" display="BR-001" xr:uid="{00000000-0004-0000-0100-000000000000}"/>
    <hyperlink ref="H10" location="'06 Баг-репорты'!A3" display="BR-002" xr:uid="{00000000-0004-0000-0100-000001000000}"/>
    <hyperlink ref="H11" location="'06 Баг-репорты'!A6" display="BR-005" xr:uid="{00000000-0004-0000-0100-000002000000}"/>
    <hyperlink ref="H19" location="'06 Баг-репорты'!A7" display="BR-006" xr:uid="{00000000-0004-0000-0100-000003000000}"/>
    <hyperlink ref="H22" location="'06 Баг-репорты'!A5" display="BR-004" xr:uid="{00000000-0004-0000-0100-000004000000}"/>
    <hyperlink ref="H48" location="'06 Баг-репорты'!A4" display="BR-003" xr:uid="{00000000-0004-0000-0100-000005000000}"/>
  </hyperlinks>
  <pageMargins left="0.25" right="0.2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28"/>
  <sheetViews>
    <sheetView showGridLines="0" topLeftCell="G1" zoomScale="85" workbookViewId="0">
      <pane ySplit="1" topLeftCell="A24" activePane="bottomLeft" state="frozen"/>
      <selection pane="bottomLeft" activeCell="K28" sqref="K28"/>
    </sheetView>
  </sheetViews>
  <sheetFormatPr defaultRowHeight="14.4" x14ac:dyDescent="0.3"/>
  <cols>
    <col min="1" max="1" width="15" customWidth="1"/>
    <col min="2" max="2" width="14" customWidth="1"/>
    <col min="3" max="3" width="29" customWidth="1"/>
    <col min="4" max="4" width="34" customWidth="1"/>
    <col min="5" max="5" width="52" customWidth="1"/>
    <col min="6" max="6" width="28" customWidth="1"/>
    <col min="7" max="8" width="60" customWidth="1"/>
    <col min="9" max="9" width="18" customWidth="1"/>
    <col min="10" max="10" width="48" customWidth="1"/>
    <col min="11" max="11" width="22" customWidth="1"/>
    <col min="12" max="12" width="36" customWidth="1"/>
  </cols>
  <sheetData>
    <row r="1" spans="1:12" ht="31.95" customHeight="1" x14ac:dyDescent="0.3">
      <c r="A1" s="1" t="s">
        <v>232</v>
      </c>
      <c r="B1" s="1" t="s">
        <v>44</v>
      </c>
      <c r="C1" s="1" t="s">
        <v>45</v>
      </c>
      <c r="D1" s="1" t="s">
        <v>233</v>
      </c>
      <c r="E1" s="1" t="s">
        <v>26</v>
      </c>
      <c r="F1" s="1" t="s">
        <v>234</v>
      </c>
      <c r="G1" s="1" t="s">
        <v>235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236</v>
      </c>
    </row>
    <row r="2" spans="1:12" ht="72" customHeight="1" x14ac:dyDescent="0.3">
      <c r="A2" s="2" t="s">
        <v>237</v>
      </c>
      <c r="B2" s="3" t="s">
        <v>53</v>
      </c>
      <c r="C2" s="3" t="s">
        <v>238</v>
      </c>
      <c r="D2" s="3" t="s">
        <v>239</v>
      </c>
      <c r="E2" s="3" t="s">
        <v>240</v>
      </c>
      <c r="F2" s="3" t="s">
        <v>241</v>
      </c>
      <c r="G2" s="3" t="s">
        <v>242</v>
      </c>
      <c r="H2" s="3" t="s">
        <v>243</v>
      </c>
      <c r="I2" s="9" t="s">
        <v>57</v>
      </c>
      <c r="J2" s="3" t="s">
        <v>244</v>
      </c>
      <c r="K2" s="3"/>
      <c r="L2" s="3"/>
    </row>
    <row r="3" spans="1:12" ht="72" customHeight="1" x14ac:dyDescent="0.3">
      <c r="A3" s="2" t="s">
        <v>245</v>
      </c>
      <c r="B3" s="3" t="s">
        <v>53</v>
      </c>
      <c r="C3" s="3" t="s">
        <v>238</v>
      </c>
      <c r="D3" s="3" t="s">
        <v>246</v>
      </c>
      <c r="E3" s="3" t="s">
        <v>247</v>
      </c>
      <c r="F3" s="3" t="s">
        <v>248</v>
      </c>
      <c r="G3" s="3" t="s">
        <v>249</v>
      </c>
      <c r="H3" s="3" t="s">
        <v>250</v>
      </c>
      <c r="I3" s="9" t="s">
        <v>57</v>
      </c>
      <c r="J3" s="3" t="s">
        <v>250</v>
      </c>
      <c r="K3" s="3"/>
      <c r="L3" s="3"/>
    </row>
    <row r="4" spans="1:12" ht="72" customHeight="1" x14ac:dyDescent="0.3">
      <c r="A4" s="2" t="s">
        <v>251</v>
      </c>
      <c r="B4" s="3" t="s">
        <v>53</v>
      </c>
      <c r="C4" s="3" t="s">
        <v>238</v>
      </c>
      <c r="D4" s="3" t="s">
        <v>252</v>
      </c>
      <c r="E4" s="3" t="s">
        <v>253</v>
      </c>
      <c r="F4" s="3" t="s">
        <v>248</v>
      </c>
      <c r="G4" s="3" t="s">
        <v>254</v>
      </c>
      <c r="H4" s="3" t="s">
        <v>255</v>
      </c>
      <c r="I4" s="9" t="s">
        <v>57</v>
      </c>
      <c r="J4" s="3" t="s">
        <v>255</v>
      </c>
      <c r="K4" s="3"/>
      <c r="L4" s="3"/>
    </row>
    <row r="5" spans="1:12" ht="72" customHeight="1" x14ac:dyDescent="0.3">
      <c r="A5" s="2" t="s">
        <v>256</v>
      </c>
      <c r="B5" s="3" t="s">
        <v>53</v>
      </c>
      <c r="C5" s="3" t="s">
        <v>238</v>
      </c>
      <c r="D5" s="3" t="s">
        <v>257</v>
      </c>
      <c r="E5" s="3" t="s">
        <v>247</v>
      </c>
      <c r="F5" s="3" t="s">
        <v>248</v>
      </c>
      <c r="G5" s="3" t="s">
        <v>258</v>
      </c>
      <c r="H5" s="3" t="s">
        <v>259</v>
      </c>
      <c r="I5" s="9" t="s">
        <v>57</v>
      </c>
      <c r="J5" s="3" t="s">
        <v>259</v>
      </c>
      <c r="K5" s="3"/>
      <c r="L5" s="3"/>
    </row>
    <row r="6" spans="1:12" ht="72" customHeight="1" x14ac:dyDescent="0.3">
      <c r="A6" s="2" t="s">
        <v>260</v>
      </c>
      <c r="B6" s="3" t="s">
        <v>78</v>
      </c>
      <c r="C6" s="3" t="s">
        <v>261</v>
      </c>
      <c r="D6" s="3" t="s">
        <v>262</v>
      </c>
      <c r="E6" s="3" t="s">
        <v>263</v>
      </c>
      <c r="F6" s="3" t="s">
        <v>264</v>
      </c>
      <c r="G6" s="3" t="s">
        <v>265</v>
      </c>
      <c r="H6" s="3" t="s">
        <v>266</v>
      </c>
      <c r="I6" s="10" t="s">
        <v>82</v>
      </c>
      <c r="J6" s="3" t="s">
        <v>267</v>
      </c>
      <c r="K6" s="12" t="s">
        <v>84</v>
      </c>
      <c r="L6" s="3"/>
    </row>
    <row r="7" spans="1:12" ht="72" customHeight="1" x14ac:dyDescent="0.3">
      <c r="A7" s="2" t="s">
        <v>268</v>
      </c>
      <c r="B7" s="3" t="s">
        <v>78</v>
      </c>
      <c r="C7" s="3" t="s">
        <v>261</v>
      </c>
      <c r="D7" s="3" t="s">
        <v>269</v>
      </c>
      <c r="E7" s="3" t="s">
        <v>270</v>
      </c>
      <c r="F7" s="3" t="s">
        <v>271</v>
      </c>
      <c r="G7" s="3" t="s">
        <v>272</v>
      </c>
      <c r="H7" s="3" t="s">
        <v>273</v>
      </c>
      <c r="I7" s="9" t="s">
        <v>57</v>
      </c>
      <c r="J7" s="3" t="s">
        <v>273</v>
      </c>
      <c r="K7" s="3"/>
      <c r="L7" s="3"/>
    </row>
    <row r="8" spans="1:12" ht="72" customHeight="1" x14ac:dyDescent="0.3">
      <c r="A8" s="2" t="s">
        <v>274</v>
      </c>
      <c r="B8" s="3" t="s">
        <v>78</v>
      </c>
      <c r="C8" s="3" t="s">
        <v>261</v>
      </c>
      <c r="D8" s="3" t="s">
        <v>275</v>
      </c>
      <c r="E8" s="3" t="s">
        <v>276</v>
      </c>
      <c r="F8" s="3" t="s">
        <v>277</v>
      </c>
      <c r="G8" s="3" t="s">
        <v>278</v>
      </c>
      <c r="H8" s="3" t="s">
        <v>279</v>
      </c>
      <c r="I8" s="10" t="s">
        <v>82</v>
      </c>
      <c r="J8" s="3" t="s">
        <v>280</v>
      </c>
      <c r="K8" s="12" t="s">
        <v>91</v>
      </c>
      <c r="L8" s="3"/>
    </row>
    <row r="9" spans="1:12" ht="72" customHeight="1" x14ac:dyDescent="0.3">
      <c r="A9" s="2" t="s">
        <v>281</v>
      </c>
      <c r="B9" s="3" t="s">
        <v>78</v>
      </c>
      <c r="C9" s="3" t="s">
        <v>261</v>
      </c>
      <c r="D9" s="3" t="s">
        <v>282</v>
      </c>
      <c r="E9" s="3" t="s">
        <v>283</v>
      </c>
      <c r="F9" s="3" t="s">
        <v>248</v>
      </c>
      <c r="G9" s="3" t="s">
        <v>284</v>
      </c>
      <c r="H9" s="3" t="s">
        <v>285</v>
      </c>
      <c r="I9" s="9" t="s">
        <v>57</v>
      </c>
      <c r="J9" s="3" t="s">
        <v>522</v>
      </c>
      <c r="K9" s="3"/>
      <c r="L9" s="3"/>
    </row>
    <row r="10" spans="1:12" ht="72" customHeight="1" x14ac:dyDescent="0.3">
      <c r="A10" s="2" t="s">
        <v>286</v>
      </c>
      <c r="B10" s="3" t="s">
        <v>78</v>
      </c>
      <c r="C10" s="3" t="s">
        <v>261</v>
      </c>
      <c r="D10" s="3" t="s">
        <v>287</v>
      </c>
      <c r="E10" s="3" t="s">
        <v>523</v>
      </c>
      <c r="F10" s="3" t="s">
        <v>288</v>
      </c>
      <c r="G10" s="3" t="s">
        <v>289</v>
      </c>
      <c r="H10" s="3" t="s">
        <v>290</v>
      </c>
      <c r="I10" s="9" t="s">
        <v>57</v>
      </c>
      <c r="J10" s="3" t="s">
        <v>290</v>
      </c>
      <c r="K10" s="3"/>
      <c r="L10" s="3"/>
    </row>
    <row r="11" spans="1:12" ht="72" customHeight="1" x14ac:dyDescent="0.3">
      <c r="A11" s="2" t="s">
        <v>291</v>
      </c>
      <c r="B11" s="3" t="s">
        <v>107</v>
      </c>
      <c r="C11" s="3" t="s">
        <v>108</v>
      </c>
      <c r="D11" s="3" t="s">
        <v>292</v>
      </c>
      <c r="E11" s="3" t="s">
        <v>293</v>
      </c>
      <c r="F11" s="3" t="s">
        <v>294</v>
      </c>
      <c r="G11" s="3" t="s">
        <v>295</v>
      </c>
      <c r="H11" s="3" t="s">
        <v>296</v>
      </c>
      <c r="I11" s="9" t="s">
        <v>57</v>
      </c>
      <c r="J11" s="3" t="s">
        <v>524</v>
      </c>
      <c r="K11" s="3"/>
      <c r="L11" s="3"/>
    </row>
    <row r="12" spans="1:12" ht="72" customHeight="1" x14ac:dyDescent="0.3">
      <c r="A12" s="2" t="s">
        <v>297</v>
      </c>
      <c r="B12" s="3" t="s">
        <v>107</v>
      </c>
      <c r="C12" s="3" t="s">
        <v>108</v>
      </c>
      <c r="D12" s="3" t="s">
        <v>298</v>
      </c>
      <c r="E12" s="3" t="s">
        <v>299</v>
      </c>
      <c r="F12" s="3" t="s">
        <v>248</v>
      </c>
      <c r="G12" s="3" t="s">
        <v>300</v>
      </c>
      <c r="H12" s="3" t="s">
        <v>301</v>
      </c>
      <c r="I12" s="9" t="s">
        <v>57</v>
      </c>
      <c r="J12" s="3" t="s">
        <v>525</v>
      </c>
      <c r="K12" s="3"/>
      <c r="L12" s="3"/>
    </row>
    <row r="13" spans="1:12" ht="72" customHeight="1" x14ac:dyDescent="0.3">
      <c r="A13" s="2" t="s">
        <v>302</v>
      </c>
      <c r="B13" s="3" t="s">
        <v>107</v>
      </c>
      <c r="C13" s="3" t="s">
        <v>108</v>
      </c>
      <c r="D13" s="3" t="s">
        <v>303</v>
      </c>
      <c r="E13" s="3" t="s">
        <v>304</v>
      </c>
      <c r="F13" s="3" t="s">
        <v>294</v>
      </c>
      <c r="G13" s="3" t="s">
        <v>305</v>
      </c>
      <c r="H13" s="3" t="s">
        <v>526</v>
      </c>
      <c r="I13" s="9" t="s">
        <v>57</v>
      </c>
      <c r="J13" s="3" t="s">
        <v>526</v>
      </c>
      <c r="K13" s="3"/>
      <c r="L13" s="3"/>
    </row>
    <row r="14" spans="1:12" ht="72" customHeight="1" x14ac:dyDescent="0.3">
      <c r="A14" s="2" t="s">
        <v>306</v>
      </c>
      <c r="B14" s="3" t="s">
        <v>107</v>
      </c>
      <c r="C14" s="3" t="s">
        <v>108</v>
      </c>
      <c r="D14" s="3" t="s">
        <v>307</v>
      </c>
      <c r="E14" s="3" t="s">
        <v>308</v>
      </c>
      <c r="F14" s="3" t="s">
        <v>309</v>
      </c>
      <c r="G14" s="3" t="s">
        <v>310</v>
      </c>
      <c r="H14" s="3" t="s">
        <v>311</v>
      </c>
      <c r="I14" s="10" t="s">
        <v>82</v>
      </c>
      <c r="J14" s="3" t="s">
        <v>527</v>
      </c>
      <c r="K14" s="12" t="s">
        <v>124</v>
      </c>
      <c r="L14" s="3" t="s">
        <v>528</v>
      </c>
    </row>
    <row r="15" spans="1:12" ht="72" customHeight="1" x14ac:dyDescent="0.3">
      <c r="A15" s="2" t="s">
        <v>312</v>
      </c>
      <c r="B15" s="3" t="s">
        <v>129</v>
      </c>
      <c r="C15" s="3" t="s">
        <v>130</v>
      </c>
      <c r="D15" s="3" t="s">
        <v>313</v>
      </c>
      <c r="E15" s="3" t="s">
        <v>314</v>
      </c>
      <c r="F15" s="3" t="s">
        <v>248</v>
      </c>
      <c r="G15" s="3" t="s">
        <v>315</v>
      </c>
      <c r="H15" s="3" t="s">
        <v>316</v>
      </c>
      <c r="I15" s="9" t="s">
        <v>57</v>
      </c>
      <c r="J15" s="3" t="s">
        <v>529</v>
      </c>
      <c r="K15" s="3"/>
      <c r="L15" s="3"/>
    </row>
    <row r="16" spans="1:12" ht="72" customHeight="1" x14ac:dyDescent="0.3">
      <c r="A16" s="2" t="s">
        <v>317</v>
      </c>
      <c r="B16" s="3" t="s">
        <v>129</v>
      </c>
      <c r="C16" s="3" t="s">
        <v>130</v>
      </c>
      <c r="D16" s="3" t="s">
        <v>318</v>
      </c>
      <c r="E16" s="3" t="s">
        <v>319</v>
      </c>
      <c r="F16" s="3" t="s">
        <v>248</v>
      </c>
      <c r="G16" s="3" t="s">
        <v>320</v>
      </c>
      <c r="H16" s="3" t="s">
        <v>321</v>
      </c>
      <c r="I16" s="10" t="s">
        <v>82</v>
      </c>
      <c r="J16" s="3" t="s">
        <v>322</v>
      </c>
      <c r="K16" s="12" t="s">
        <v>138</v>
      </c>
      <c r="L16" s="3"/>
    </row>
    <row r="17" spans="1:12" ht="72" customHeight="1" x14ac:dyDescent="0.3">
      <c r="A17" s="2" t="s">
        <v>323</v>
      </c>
      <c r="B17" s="3" t="s">
        <v>129</v>
      </c>
      <c r="C17" s="3" t="s">
        <v>130</v>
      </c>
      <c r="D17" s="3" t="s">
        <v>324</v>
      </c>
      <c r="E17" s="3" t="s">
        <v>325</v>
      </c>
      <c r="F17" s="3" t="s">
        <v>326</v>
      </c>
      <c r="G17" s="3" t="s">
        <v>327</v>
      </c>
      <c r="H17" s="3" t="s">
        <v>328</v>
      </c>
      <c r="I17" s="9" t="s">
        <v>57</v>
      </c>
      <c r="J17" s="3" t="s">
        <v>328</v>
      </c>
      <c r="K17" s="3"/>
      <c r="L17" s="3"/>
    </row>
    <row r="18" spans="1:12" ht="72" customHeight="1" x14ac:dyDescent="0.3">
      <c r="A18" s="2" t="s">
        <v>329</v>
      </c>
      <c r="B18" s="3" t="s">
        <v>129</v>
      </c>
      <c r="C18" s="3" t="s">
        <v>130</v>
      </c>
      <c r="D18" s="3" t="s">
        <v>330</v>
      </c>
      <c r="E18" s="3" t="s">
        <v>331</v>
      </c>
      <c r="F18" s="3" t="s">
        <v>248</v>
      </c>
      <c r="G18" s="3" t="s">
        <v>332</v>
      </c>
      <c r="H18" s="3" t="s">
        <v>333</v>
      </c>
      <c r="I18" s="9" t="s">
        <v>57</v>
      </c>
      <c r="J18" s="3" t="s">
        <v>333</v>
      </c>
      <c r="K18" s="3"/>
      <c r="L18" s="3"/>
    </row>
    <row r="19" spans="1:12" ht="72" customHeight="1" x14ac:dyDescent="0.3">
      <c r="A19" s="2" t="s">
        <v>334</v>
      </c>
      <c r="B19" s="3" t="s">
        <v>129</v>
      </c>
      <c r="C19" s="3" t="s">
        <v>130</v>
      </c>
      <c r="D19" s="3" t="s">
        <v>335</v>
      </c>
      <c r="E19" s="3" t="s">
        <v>336</v>
      </c>
      <c r="F19" s="3" t="s">
        <v>337</v>
      </c>
      <c r="G19" s="3" t="s">
        <v>338</v>
      </c>
      <c r="H19" s="3" t="s">
        <v>339</v>
      </c>
      <c r="I19" s="9" t="s">
        <v>57</v>
      </c>
      <c r="J19" s="3" t="s">
        <v>339</v>
      </c>
      <c r="K19" s="3"/>
      <c r="L19" s="3"/>
    </row>
    <row r="20" spans="1:12" ht="72" customHeight="1" x14ac:dyDescent="0.3">
      <c r="A20" s="2" t="s">
        <v>340</v>
      </c>
      <c r="B20" s="3" t="s">
        <v>156</v>
      </c>
      <c r="C20" s="3" t="s">
        <v>157</v>
      </c>
      <c r="D20" s="3" t="s">
        <v>341</v>
      </c>
      <c r="E20" s="3" t="s">
        <v>342</v>
      </c>
      <c r="F20" s="3" t="s">
        <v>248</v>
      </c>
      <c r="G20" s="3" t="s">
        <v>343</v>
      </c>
      <c r="H20" s="3" t="s">
        <v>344</v>
      </c>
      <c r="I20" s="9" t="s">
        <v>57</v>
      </c>
      <c r="J20" s="3" t="s">
        <v>344</v>
      </c>
      <c r="K20" s="3"/>
      <c r="L20" s="3"/>
    </row>
    <row r="21" spans="1:12" ht="72" customHeight="1" x14ac:dyDescent="0.3">
      <c r="A21" s="2" t="s">
        <v>345</v>
      </c>
      <c r="B21" s="3" t="s">
        <v>156</v>
      </c>
      <c r="C21" s="3" t="s">
        <v>157</v>
      </c>
      <c r="D21" s="3" t="s">
        <v>346</v>
      </c>
      <c r="E21" s="3" t="s">
        <v>347</v>
      </c>
      <c r="F21" s="3" t="s">
        <v>248</v>
      </c>
      <c r="G21" s="3" t="s">
        <v>348</v>
      </c>
      <c r="H21" s="3" t="s">
        <v>349</v>
      </c>
      <c r="I21" s="9" t="s">
        <v>57</v>
      </c>
      <c r="J21" s="3" t="s">
        <v>530</v>
      </c>
      <c r="K21" s="3"/>
      <c r="L21" s="3"/>
    </row>
    <row r="22" spans="1:12" ht="72" customHeight="1" x14ac:dyDescent="0.3">
      <c r="A22" s="2" t="s">
        <v>350</v>
      </c>
      <c r="B22" s="3" t="s">
        <v>178</v>
      </c>
      <c r="C22" s="3" t="s">
        <v>179</v>
      </c>
      <c r="D22" s="3" t="s">
        <v>351</v>
      </c>
      <c r="E22" s="3" t="s">
        <v>247</v>
      </c>
      <c r="F22" s="3" t="s">
        <v>248</v>
      </c>
      <c r="G22" s="3" t="s">
        <v>352</v>
      </c>
      <c r="H22" s="3" t="s">
        <v>353</v>
      </c>
      <c r="I22" s="9" t="s">
        <v>57</v>
      </c>
      <c r="J22" s="3" t="s">
        <v>353</v>
      </c>
      <c r="K22" s="3"/>
      <c r="L22" s="3"/>
    </row>
    <row r="23" spans="1:12" ht="72" customHeight="1" x14ac:dyDescent="0.3">
      <c r="A23" s="2" t="s">
        <v>354</v>
      </c>
      <c r="B23" s="3" t="s">
        <v>193</v>
      </c>
      <c r="C23" s="3" t="s">
        <v>355</v>
      </c>
      <c r="D23" s="3" t="s">
        <v>356</v>
      </c>
      <c r="E23" s="3" t="s">
        <v>357</v>
      </c>
      <c r="F23" s="3" t="s">
        <v>234</v>
      </c>
      <c r="G23" s="3" t="s">
        <v>358</v>
      </c>
      <c r="H23" s="3" t="s">
        <v>359</v>
      </c>
      <c r="I23" s="9" t="s">
        <v>57</v>
      </c>
      <c r="J23" s="3" t="s">
        <v>531</v>
      </c>
      <c r="K23" s="3"/>
      <c r="L23" s="3"/>
    </row>
    <row r="24" spans="1:12" ht="72" customHeight="1" x14ac:dyDescent="0.3">
      <c r="A24" s="2" t="s">
        <v>360</v>
      </c>
      <c r="B24" s="3" t="s">
        <v>193</v>
      </c>
      <c r="C24" s="3" t="s">
        <v>355</v>
      </c>
      <c r="D24" s="3" t="s">
        <v>361</v>
      </c>
      <c r="E24" s="3" t="s">
        <v>362</v>
      </c>
      <c r="F24" s="3" t="s">
        <v>248</v>
      </c>
      <c r="G24" s="3" t="s">
        <v>363</v>
      </c>
      <c r="H24" s="3" t="s">
        <v>364</v>
      </c>
      <c r="I24" s="9" t="s">
        <v>57</v>
      </c>
      <c r="J24" s="3" t="s">
        <v>364</v>
      </c>
      <c r="K24" s="3"/>
      <c r="L24" s="3"/>
    </row>
    <row r="25" spans="1:12" ht="72" customHeight="1" x14ac:dyDescent="0.3">
      <c r="A25" s="2" t="s">
        <v>365</v>
      </c>
      <c r="B25" s="3" t="s">
        <v>193</v>
      </c>
      <c r="C25" s="3" t="s">
        <v>355</v>
      </c>
      <c r="D25" s="3" t="s">
        <v>366</v>
      </c>
      <c r="E25" s="3" t="s">
        <v>367</v>
      </c>
      <c r="F25" s="3" t="s">
        <v>368</v>
      </c>
      <c r="G25" s="3" t="s">
        <v>369</v>
      </c>
      <c r="H25" s="3" t="s">
        <v>370</v>
      </c>
      <c r="I25" s="9" t="s">
        <v>57</v>
      </c>
      <c r="J25" s="3" t="s">
        <v>532</v>
      </c>
      <c r="K25" s="3"/>
      <c r="L25" s="3"/>
    </row>
    <row r="26" spans="1:12" ht="72" customHeight="1" x14ac:dyDescent="0.3">
      <c r="A26" s="2" t="s">
        <v>371</v>
      </c>
      <c r="B26" s="3" t="s">
        <v>207</v>
      </c>
      <c r="C26" s="3" t="s">
        <v>208</v>
      </c>
      <c r="D26" s="3" t="s">
        <v>372</v>
      </c>
      <c r="E26" s="3" t="s">
        <v>373</v>
      </c>
      <c r="F26" s="3" t="s">
        <v>374</v>
      </c>
      <c r="G26" s="3" t="s">
        <v>375</v>
      </c>
      <c r="H26" s="3" t="s">
        <v>376</v>
      </c>
      <c r="I26" s="9" t="s">
        <v>57</v>
      </c>
      <c r="J26" s="3" t="s">
        <v>533</v>
      </c>
      <c r="K26" s="3"/>
      <c r="L26" s="3"/>
    </row>
    <row r="27" spans="1:12" ht="90" customHeight="1" x14ac:dyDescent="0.3">
      <c r="A27" s="2" t="s">
        <v>377</v>
      </c>
      <c r="B27" s="3" t="s">
        <v>78</v>
      </c>
      <c r="C27" s="3" t="s">
        <v>261</v>
      </c>
      <c r="D27" s="3" t="s">
        <v>378</v>
      </c>
      <c r="E27" s="3" t="s">
        <v>379</v>
      </c>
      <c r="F27" s="3" t="s">
        <v>380</v>
      </c>
      <c r="G27" s="3" t="s">
        <v>381</v>
      </c>
      <c r="H27" s="3" t="s">
        <v>382</v>
      </c>
      <c r="I27" s="10" t="s">
        <v>82</v>
      </c>
      <c r="J27" s="3" t="s">
        <v>383</v>
      </c>
      <c r="K27" s="12" t="s">
        <v>230</v>
      </c>
      <c r="L27" s="3" t="s">
        <v>384</v>
      </c>
    </row>
    <row r="28" spans="1:12" ht="90" customHeight="1" x14ac:dyDescent="0.3">
      <c r="A28" s="2" t="s">
        <v>385</v>
      </c>
      <c r="B28" s="3" t="s">
        <v>78</v>
      </c>
      <c r="C28" s="3" t="s">
        <v>261</v>
      </c>
      <c r="D28" s="3" t="s">
        <v>386</v>
      </c>
      <c r="E28" s="3" t="s">
        <v>387</v>
      </c>
      <c r="F28" s="3" t="s">
        <v>388</v>
      </c>
      <c r="G28" s="3" t="s">
        <v>389</v>
      </c>
      <c r="H28" s="3" t="s">
        <v>390</v>
      </c>
      <c r="I28" s="10" t="s">
        <v>82</v>
      </c>
      <c r="J28" s="3" t="s">
        <v>391</v>
      </c>
      <c r="K28" s="12" t="s">
        <v>96</v>
      </c>
      <c r="L28" s="3" t="s">
        <v>536</v>
      </c>
    </row>
  </sheetData>
  <autoFilter ref="A1:L28" xr:uid="{00000000-0009-0000-0000-000002000000}"/>
  <conditionalFormatting sqref="I2:I26">
    <cfRule type="expression" dxfId="2" priority="1">
      <formula>I2="Пройден"</formula>
    </cfRule>
    <cfRule type="expression" dxfId="1" priority="2">
      <formula>I2="Не пройден"</formula>
    </cfRule>
    <cfRule type="expression" dxfId="0" priority="3">
      <formula>I2="Заблокирован"</formula>
    </cfRule>
  </conditionalFormatting>
  <dataValidations count="1">
    <dataValidation type="list" sqref="I2:I26" xr:uid="{00000000-0002-0000-0200-000000000000}">
      <formula1>"Не выполнен,Пройден,Не пройден,Заблокирован,Не применимо"</formula1>
    </dataValidation>
  </dataValidations>
  <hyperlinks>
    <hyperlink ref="K6" location="'06 Баг-репорты'!A2" display="BR-001" xr:uid="{00000000-0004-0000-0200-000000000000}"/>
    <hyperlink ref="K8" location="'06 Баг-репорты'!A3" display="BR-002" xr:uid="{00000000-0004-0000-0200-000001000000}"/>
    <hyperlink ref="K14" location="'06 Баг-репорты'!A7" display="BR-006" xr:uid="{00000000-0004-0000-0200-000002000000}"/>
    <hyperlink ref="K16" location="'06 Баг-репорты'!A5" display="BR-004" xr:uid="{00000000-0004-0000-0200-000003000000}"/>
    <hyperlink ref="K27" location="'06 Баг-репорты'!A4" display="BR-003" xr:uid="{00000000-0004-0000-0200-000004000000}"/>
    <hyperlink ref="K28" location="'06 Баг-репорты'!A6" display="BR-005" xr:uid="{00000000-0004-0000-0200-000005000000}"/>
  </hyperlinks>
  <pageMargins left="0.25" right="0.2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12"/>
  <sheetViews>
    <sheetView showGridLines="0" zoomScale="85" workbookViewId="0">
      <pane ySplit="1" topLeftCell="A2" activePane="bottomLeft" state="frozen"/>
      <selection pane="bottomLeft" activeCell="C19" sqref="C19"/>
    </sheetView>
  </sheetViews>
  <sheetFormatPr defaultRowHeight="14.4" x14ac:dyDescent="0.3"/>
  <cols>
    <col min="1" max="3" width="48" customWidth="1"/>
  </cols>
  <sheetData>
    <row r="1" spans="1:3" ht="31.95" customHeight="1" x14ac:dyDescent="0.3">
      <c r="A1" s="1" t="s">
        <v>392</v>
      </c>
      <c r="B1" s="1" t="s">
        <v>393</v>
      </c>
      <c r="C1" s="1" t="s">
        <v>394</v>
      </c>
    </row>
    <row r="2" spans="1:3" x14ac:dyDescent="0.3">
      <c r="A2" s="2" t="s">
        <v>395</v>
      </c>
      <c r="B2" s="3">
        <f>COUNTA('02 Чек-лист'!A2:A48)</f>
        <v>47</v>
      </c>
      <c r="C2" s="3">
        <f>COUNTA('03 Тест-кейсы'!A2:A28)</f>
        <v>27</v>
      </c>
    </row>
    <row r="3" spans="1:3" x14ac:dyDescent="0.3">
      <c r="A3" s="2" t="s">
        <v>396</v>
      </c>
      <c r="B3" s="3">
        <f>COUNTIF('02 Чек-лист'!F2:F48,"Пройден")</f>
        <v>41</v>
      </c>
      <c r="C3" s="3">
        <f>COUNTIF('03 Тест-кейсы'!I2:I28,"Пройден")</f>
        <v>21</v>
      </c>
    </row>
    <row r="4" spans="1:3" x14ac:dyDescent="0.3">
      <c r="A4" s="2" t="s">
        <v>397</v>
      </c>
      <c r="B4" s="3">
        <f>COUNTIF('02 Чек-лист'!F2:F48,"Не пройден")</f>
        <v>6</v>
      </c>
      <c r="C4" s="3">
        <f>COUNTIF('03 Тест-кейсы'!I2:I28,"Не пройден")</f>
        <v>6</v>
      </c>
    </row>
    <row r="5" spans="1:3" x14ac:dyDescent="0.3">
      <c r="A5" s="2" t="s">
        <v>398</v>
      </c>
      <c r="B5" s="3">
        <f>COUNTIF('02 Чек-лист'!F2:F48,"Заблокирован")</f>
        <v>0</v>
      </c>
      <c r="C5" s="3">
        <f>COUNTIF('03 Тест-кейсы'!I2:I28,"Заблокирован")</f>
        <v>0</v>
      </c>
    </row>
    <row r="6" spans="1:3" x14ac:dyDescent="0.3">
      <c r="A6" s="2" t="s">
        <v>399</v>
      </c>
      <c r="B6" s="3">
        <f>COUNTIF('02 Чек-лист'!F2:F48,"Не применимо")</f>
        <v>0</v>
      </c>
      <c r="C6" s="3">
        <f>COUNTIF('03 Тест-кейсы'!I2:I28,"Не применимо")</f>
        <v>0</v>
      </c>
    </row>
    <row r="7" spans="1:3" x14ac:dyDescent="0.3">
      <c r="A7" s="2" t="s">
        <v>400</v>
      </c>
      <c r="B7" s="3">
        <f>COUNTIF('02 Чек-лист'!F2:F48,"Не выполнен")</f>
        <v>0</v>
      </c>
      <c r="C7" s="3">
        <f>COUNTIF('03 Тест-кейсы'!I2:I28,"Не выполнен")</f>
        <v>0</v>
      </c>
    </row>
    <row r="8" spans="1:3" x14ac:dyDescent="0.3">
      <c r="A8" s="2" t="s">
        <v>401</v>
      </c>
      <c r="B8" s="4">
        <f>IFERROR(B3/B2,0)</f>
        <v>0.87234042553191493</v>
      </c>
      <c r="C8" s="4">
        <f>IFERROR(C3/C2,0)</f>
        <v>0.77777777777777779</v>
      </c>
    </row>
    <row r="9" spans="1:3" ht="28.8" customHeight="1" x14ac:dyDescent="0.3">
      <c r="A9" s="2" t="s">
        <v>402</v>
      </c>
      <c r="B9" s="4">
        <f>IFERROR(B3/(B3+B4),0)</f>
        <v>0.87234042553191493</v>
      </c>
      <c r="C9" s="4">
        <f>IFERROR(C3/(C3+C4),0)</f>
        <v>0.77777777777777779</v>
      </c>
    </row>
    <row r="10" spans="1:3" ht="72" x14ac:dyDescent="0.3">
      <c r="A10" s="2" t="s">
        <v>403</v>
      </c>
      <c r="B10" s="3" t="s">
        <v>404</v>
      </c>
      <c r="C10" s="3"/>
    </row>
    <row r="12" spans="1:3" ht="42" customHeight="1" x14ac:dyDescent="0.3">
      <c r="A12" s="11"/>
      <c r="B12" s="14"/>
      <c r="C12" s="15"/>
    </row>
  </sheetData>
  <mergeCells count="1">
    <mergeCell ref="B12:C12"/>
  </mergeCells>
  <pageMargins left="0.25" right="0.25" top="1" bottom="1" header="0.5" footer="0.5"/>
  <pageSetup paperSize="9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6"/>
  <sheetViews>
    <sheetView showGridLines="0" zoomScale="85" workbookViewId="0">
      <pane ySplit="1" topLeftCell="A2" activePane="bottomLeft" state="frozen"/>
      <selection pane="bottomLeft" activeCell="C16" sqref="C16"/>
    </sheetView>
  </sheetViews>
  <sheetFormatPr defaultRowHeight="14.4" x14ac:dyDescent="0.3"/>
  <cols>
    <col min="1" max="1" width="12" customWidth="1"/>
    <col min="2" max="2" width="25" customWidth="1"/>
    <col min="3" max="3" width="72" customWidth="1"/>
    <col min="4" max="4" width="18" customWidth="1"/>
    <col min="5" max="5" width="58" customWidth="1"/>
    <col min="6" max="6" width="55" customWidth="1"/>
  </cols>
  <sheetData>
    <row r="1" spans="1:6" ht="31.95" customHeight="1" x14ac:dyDescent="0.3">
      <c r="A1" s="1" t="s">
        <v>405</v>
      </c>
      <c r="B1" s="1" t="s">
        <v>406</v>
      </c>
      <c r="C1" s="1" t="s">
        <v>407</v>
      </c>
      <c r="D1" s="1" t="s">
        <v>48</v>
      </c>
      <c r="E1" s="1" t="s">
        <v>408</v>
      </c>
      <c r="F1" s="1" t="s">
        <v>409</v>
      </c>
    </row>
    <row r="2" spans="1:6" ht="48" customHeight="1" x14ac:dyDescent="0.3">
      <c r="A2" s="2" t="s">
        <v>410</v>
      </c>
      <c r="B2" s="3" t="s">
        <v>411</v>
      </c>
      <c r="C2" s="3" t="s">
        <v>412</v>
      </c>
      <c r="D2" s="9" t="s">
        <v>413</v>
      </c>
      <c r="E2" s="3" t="s">
        <v>414</v>
      </c>
      <c r="F2" s="3" t="s">
        <v>415</v>
      </c>
    </row>
    <row r="3" spans="1:6" ht="48" customHeight="1" x14ac:dyDescent="0.3">
      <c r="A3" s="2" t="s">
        <v>416</v>
      </c>
      <c r="B3" s="3" t="s">
        <v>261</v>
      </c>
      <c r="C3" s="3" t="s">
        <v>417</v>
      </c>
      <c r="D3" s="3" t="s">
        <v>537</v>
      </c>
      <c r="E3" s="3" t="s">
        <v>419</v>
      </c>
      <c r="F3" s="3"/>
    </row>
    <row r="4" spans="1:6" ht="48" customHeight="1" x14ac:dyDescent="0.3">
      <c r="A4" s="2" t="s">
        <v>420</v>
      </c>
      <c r="B4" s="3" t="s">
        <v>421</v>
      </c>
      <c r="C4" s="3" t="s">
        <v>422</v>
      </c>
      <c r="D4" s="9" t="s">
        <v>413</v>
      </c>
      <c r="E4" s="3" t="s">
        <v>423</v>
      </c>
      <c r="F4" s="3" t="s">
        <v>538</v>
      </c>
    </row>
    <row r="5" spans="1:6" ht="48" customHeight="1" x14ac:dyDescent="0.3">
      <c r="A5" s="2" t="s">
        <v>424</v>
      </c>
      <c r="B5" s="3" t="s">
        <v>421</v>
      </c>
      <c r="C5" s="3" t="s">
        <v>425</v>
      </c>
      <c r="D5" s="9" t="s">
        <v>413</v>
      </c>
      <c r="E5" s="3" t="s">
        <v>426</v>
      </c>
      <c r="F5" s="3" t="s">
        <v>539</v>
      </c>
    </row>
    <row r="6" spans="1:6" ht="48" customHeight="1" x14ac:dyDescent="0.3">
      <c r="A6" s="2" t="s">
        <v>427</v>
      </c>
      <c r="B6" s="3" t="s">
        <v>428</v>
      </c>
      <c r="C6" s="3" t="s">
        <v>429</v>
      </c>
      <c r="D6" s="3" t="s">
        <v>537</v>
      </c>
      <c r="E6" s="3" t="s">
        <v>430</v>
      </c>
      <c r="F6" s="3"/>
    </row>
    <row r="7" spans="1:6" ht="48" customHeight="1" x14ac:dyDescent="0.3">
      <c r="A7" s="2" t="s">
        <v>431</v>
      </c>
      <c r="B7" s="3" t="s">
        <v>432</v>
      </c>
      <c r="C7" s="3" t="s">
        <v>433</v>
      </c>
      <c r="D7" s="3" t="s">
        <v>537</v>
      </c>
      <c r="E7" s="3" t="s">
        <v>434</v>
      </c>
      <c r="F7" s="3"/>
    </row>
    <row r="8" spans="1:6" ht="48" customHeight="1" x14ac:dyDescent="0.3">
      <c r="A8" s="2" t="s">
        <v>435</v>
      </c>
      <c r="B8" s="3" t="s">
        <v>436</v>
      </c>
      <c r="C8" s="3" t="s">
        <v>437</v>
      </c>
      <c r="D8" s="9" t="s">
        <v>413</v>
      </c>
      <c r="E8" s="3" t="s">
        <v>438</v>
      </c>
      <c r="F8" s="3" t="s">
        <v>540</v>
      </c>
    </row>
    <row r="9" spans="1:6" ht="48" customHeight="1" x14ac:dyDescent="0.3">
      <c r="A9" s="2" t="s">
        <v>439</v>
      </c>
      <c r="B9" s="3" t="s">
        <v>440</v>
      </c>
      <c r="C9" s="3" t="s">
        <v>441</v>
      </c>
      <c r="D9" s="9" t="s">
        <v>413</v>
      </c>
      <c r="E9" s="3" t="s">
        <v>442</v>
      </c>
      <c r="F9" s="3"/>
    </row>
    <row r="10" spans="1:6" ht="48" customHeight="1" x14ac:dyDescent="0.3">
      <c r="A10" s="2" t="s">
        <v>443</v>
      </c>
      <c r="B10" s="3" t="s">
        <v>444</v>
      </c>
      <c r="C10" s="3" t="s">
        <v>445</v>
      </c>
      <c r="D10" s="9" t="s">
        <v>413</v>
      </c>
      <c r="E10" s="3" t="s">
        <v>446</v>
      </c>
      <c r="F10" s="3" t="s">
        <v>541</v>
      </c>
    </row>
    <row r="11" spans="1:6" ht="48" customHeight="1" x14ac:dyDescent="0.3">
      <c r="A11" s="2" t="s">
        <v>447</v>
      </c>
      <c r="B11" s="3" t="s">
        <v>448</v>
      </c>
      <c r="C11" s="3" t="s">
        <v>449</v>
      </c>
      <c r="D11" s="9" t="s">
        <v>413</v>
      </c>
      <c r="E11" s="3" t="s">
        <v>450</v>
      </c>
      <c r="F11" s="3" t="s">
        <v>542</v>
      </c>
    </row>
    <row r="12" spans="1:6" ht="48" customHeight="1" x14ac:dyDescent="0.3">
      <c r="A12" s="2" t="s">
        <v>451</v>
      </c>
      <c r="B12" s="3" t="s">
        <v>452</v>
      </c>
      <c r="C12" s="3" t="s">
        <v>453</v>
      </c>
      <c r="D12" s="3" t="s">
        <v>418</v>
      </c>
      <c r="E12" s="3" t="s">
        <v>454</v>
      </c>
      <c r="F12" s="3"/>
    </row>
    <row r="13" spans="1:6" ht="48" customHeight="1" x14ac:dyDescent="0.3">
      <c r="A13" s="2" t="s">
        <v>455</v>
      </c>
      <c r="B13" s="3" t="s">
        <v>179</v>
      </c>
      <c r="C13" s="3" t="s">
        <v>456</v>
      </c>
      <c r="D13" s="9" t="s">
        <v>413</v>
      </c>
      <c r="E13" s="3" t="s">
        <v>457</v>
      </c>
      <c r="F13" s="3" t="s">
        <v>543</v>
      </c>
    </row>
    <row r="14" spans="1:6" ht="48" customHeight="1" x14ac:dyDescent="0.3">
      <c r="A14" s="2" t="s">
        <v>458</v>
      </c>
      <c r="B14" s="3" t="s">
        <v>459</v>
      </c>
      <c r="C14" s="3" t="s">
        <v>460</v>
      </c>
      <c r="D14" s="9" t="s">
        <v>413</v>
      </c>
      <c r="E14" s="3" t="s">
        <v>461</v>
      </c>
      <c r="F14" s="3" t="s">
        <v>544</v>
      </c>
    </row>
    <row r="15" spans="1:6" ht="48" customHeight="1" x14ac:dyDescent="0.3">
      <c r="A15" s="2" t="s">
        <v>462</v>
      </c>
      <c r="B15" s="3" t="s">
        <v>463</v>
      </c>
      <c r="C15" s="3" t="s">
        <v>464</v>
      </c>
      <c r="D15" s="9" t="s">
        <v>413</v>
      </c>
      <c r="E15" s="3" t="s">
        <v>465</v>
      </c>
      <c r="F15" s="3" t="s">
        <v>545</v>
      </c>
    </row>
    <row r="16" spans="1:6" ht="48" customHeight="1" x14ac:dyDescent="0.3">
      <c r="A16" s="2" t="s">
        <v>466</v>
      </c>
      <c r="B16" s="3" t="s">
        <v>32</v>
      </c>
      <c r="C16" s="3" t="s">
        <v>467</v>
      </c>
      <c r="D16" s="3" t="s">
        <v>537</v>
      </c>
      <c r="E16" s="3" t="s">
        <v>468</v>
      </c>
      <c r="F16" s="3"/>
    </row>
  </sheetData>
  <dataValidations count="1">
    <dataValidation type="list" sqref="D2:D16" xr:uid="{00000000-0002-0000-0400-000000000000}">
      <formula1>"Открыт,В работе,Согласовано,Не применимо"</formula1>
    </dataValidation>
  </dataValidations>
  <pageMargins left="0.25" right="0.25" top="1" bottom="1" header="0.5" footer="0.5"/>
  <pageSetup paperSize="9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9"/>
  <sheetViews>
    <sheetView showGridLines="0" tabSelected="1" topLeftCell="G1" workbookViewId="0">
      <pane ySplit="1" topLeftCell="A2" activePane="bottomLeft" state="frozen"/>
      <selection pane="bottomLeft" activeCell="A6" sqref="A6"/>
    </sheetView>
  </sheetViews>
  <sheetFormatPr defaultRowHeight="14.4" x14ac:dyDescent="0.3"/>
  <cols>
    <col min="1" max="1" width="12" customWidth="1"/>
    <col min="2" max="2" width="42" customWidth="1"/>
    <col min="3" max="3" width="34" customWidth="1"/>
    <col min="4" max="4" width="48" customWidth="1"/>
    <col min="5" max="5" width="42" customWidth="1"/>
    <col min="6" max="6" width="40" customWidth="1"/>
    <col min="7" max="7" width="42" customWidth="1"/>
    <col min="8" max="8" width="46" customWidth="1"/>
    <col min="9" max="9" width="14" customWidth="1"/>
    <col min="10" max="10" width="12" customWidth="1"/>
    <col min="11" max="11" width="18" customWidth="1"/>
    <col min="12" max="12" width="65" customWidth="1"/>
  </cols>
  <sheetData>
    <row r="1" spans="1:12" ht="34.049999999999997" customHeight="1" x14ac:dyDescent="0.3">
      <c r="A1" s="6" t="s">
        <v>405</v>
      </c>
      <c r="B1" s="6" t="s">
        <v>233</v>
      </c>
      <c r="C1" s="6" t="s">
        <v>26</v>
      </c>
      <c r="D1" s="6" t="s">
        <v>469</v>
      </c>
      <c r="E1" s="6" t="s">
        <v>47</v>
      </c>
      <c r="F1" s="6" t="s">
        <v>49</v>
      </c>
      <c r="G1" s="6" t="s">
        <v>463</v>
      </c>
      <c r="H1" s="6" t="s">
        <v>470</v>
      </c>
      <c r="I1" s="6" t="s">
        <v>471</v>
      </c>
      <c r="J1" s="6" t="s">
        <v>472</v>
      </c>
      <c r="K1" s="6" t="s">
        <v>473</v>
      </c>
      <c r="L1" s="6" t="s">
        <v>474</v>
      </c>
    </row>
    <row r="2" spans="1:12" ht="60" customHeight="1" x14ac:dyDescent="0.3">
      <c r="A2" s="7" t="s">
        <v>84</v>
      </c>
      <c r="B2" s="7" t="s">
        <v>475</v>
      </c>
      <c r="C2" s="7" t="s">
        <v>476</v>
      </c>
      <c r="D2" s="7" t="s">
        <v>477</v>
      </c>
      <c r="E2" s="7" t="s">
        <v>478</v>
      </c>
      <c r="F2" s="7" t="s">
        <v>479</v>
      </c>
      <c r="G2" s="7" t="s">
        <v>480</v>
      </c>
      <c r="H2" s="8" t="s">
        <v>481</v>
      </c>
      <c r="I2" s="7" t="s">
        <v>482</v>
      </c>
      <c r="J2" s="7" t="s">
        <v>483</v>
      </c>
      <c r="K2" s="7" t="s">
        <v>484</v>
      </c>
      <c r="L2" s="7" t="s">
        <v>485</v>
      </c>
    </row>
    <row r="3" spans="1:12" ht="60" customHeight="1" x14ac:dyDescent="0.3">
      <c r="A3" s="5" t="s">
        <v>91</v>
      </c>
      <c r="B3" s="5" t="s">
        <v>486</v>
      </c>
      <c r="C3" s="5" t="s">
        <v>487</v>
      </c>
      <c r="D3" s="5" t="s">
        <v>488</v>
      </c>
      <c r="E3" s="5" t="s">
        <v>489</v>
      </c>
      <c r="F3" s="5" t="s">
        <v>490</v>
      </c>
      <c r="G3" s="5" t="s">
        <v>480</v>
      </c>
      <c r="H3" s="8" t="s">
        <v>481</v>
      </c>
      <c r="I3" s="5" t="s">
        <v>482</v>
      </c>
      <c r="J3" s="5" t="s">
        <v>483</v>
      </c>
      <c r="K3" s="5" t="s">
        <v>484</v>
      </c>
      <c r="L3" s="5" t="s">
        <v>516</v>
      </c>
    </row>
    <row r="4" spans="1:12" ht="60" customHeight="1" x14ac:dyDescent="0.3">
      <c r="A4" s="7" t="s">
        <v>230</v>
      </c>
      <c r="B4" s="7" t="s">
        <v>491</v>
      </c>
      <c r="C4" s="7" t="s">
        <v>492</v>
      </c>
      <c r="D4" s="7" t="s">
        <v>493</v>
      </c>
      <c r="E4" s="7" t="s">
        <v>494</v>
      </c>
      <c r="F4" s="7" t="s">
        <v>495</v>
      </c>
      <c r="G4" s="7" t="s">
        <v>480</v>
      </c>
      <c r="H4" s="8" t="s">
        <v>481</v>
      </c>
      <c r="I4" s="7" t="s">
        <v>534</v>
      </c>
      <c r="J4" s="7" t="s">
        <v>496</v>
      </c>
      <c r="K4" s="7" t="s">
        <v>484</v>
      </c>
      <c r="L4" s="7" t="s">
        <v>535</v>
      </c>
    </row>
    <row r="5" spans="1:12" ht="60" customHeight="1" x14ac:dyDescent="0.3">
      <c r="A5" s="5" t="s">
        <v>138</v>
      </c>
      <c r="B5" s="5" t="s">
        <v>497</v>
      </c>
      <c r="C5" s="5" t="s">
        <v>498</v>
      </c>
      <c r="D5" s="5" t="s">
        <v>499</v>
      </c>
      <c r="E5" s="5" t="s">
        <v>500</v>
      </c>
      <c r="F5" s="5" t="s">
        <v>501</v>
      </c>
      <c r="G5" s="5" t="s">
        <v>480</v>
      </c>
      <c r="H5" s="8" t="s">
        <v>481</v>
      </c>
      <c r="I5" s="5" t="s">
        <v>482</v>
      </c>
      <c r="J5" s="5" t="s">
        <v>483</v>
      </c>
      <c r="K5" s="5" t="s">
        <v>502</v>
      </c>
      <c r="L5" s="5" t="s">
        <v>503</v>
      </c>
    </row>
    <row r="6" spans="1:12" ht="60" customHeight="1" x14ac:dyDescent="0.3">
      <c r="A6" s="7" t="s">
        <v>96</v>
      </c>
      <c r="B6" s="7" t="s">
        <v>504</v>
      </c>
      <c r="C6" s="7" t="s">
        <v>487</v>
      </c>
      <c r="D6" s="7" t="s">
        <v>518</v>
      </c>
      <c r="E6" s="7" t="s">
        <v>505</v>
      </c>
      <c r="F6" s="7" t="s">
        <v>506</v>
      </c>
      <c r="G6" s="7" t="s">
        <v>480</v>
      </c>
      <c r="H6" s="8" t="s">
        <v>481</v>
      </c>
      <c r="I6" s="7" t="s">
        <v>482</v>
      </c>
      <c r="J6" s="7" t="s">
        <v>519</v>
      </c>
      <c r="K6" s="7" t="s">
        <v>484</v>
      </c>
      <c r="L6" s="7" t="s">
        <v>520</v>
      </c>
    </row>
    <row r="7" spans="1:12" ht="60" customHeight="1" x14ac:dyDescent="0.3">
      <c r="A7" s="5" t="s">
        <v>124</v>
      </c>
      <c r="B7" s="5" t="s">
        <v>507</v>
      </c>
      <c r="C7" s="5" t="s">
        <v>508</v>
      </c>
      <c r="D7" s="5" t="s">
        <v>509</v>
      </c>
      <c r="E7" s="5" t="s">
        <v>510</v>
      </c>
      <c r="F7" s="5" t="s">
        <v>511</v>
      </c>
      <c r="G7" s="5" t="s">
        <v>480</v>
      </c>
      <c r="H7" s="8" t="s">
        <v>481</v>
      </c>
      <c r="I7" s="5" t="s">
        <v>482</v>
      </c>
      <c r="J7" s="5" t="s">
        <v>512</v>
      </c>
      <c r="K7" s="5" t="s">
        <v>513</v>
      </c>
      <c r="L7" s="16" t="s">
        <v>514</v>
      </c>
    </row>
    <row r="8" spans="1:12" x14ac:dyDescent="0.3">
      <c r="L8" s="16"/>
    </row>
    <row r="9" spans="1:12" ht="42" customHeight="1" x14ac:dyDescent="0.3">
      <c r="A9" s="13" t="s">
        <v>515</v>
      </c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</row>
  </sheetData>
  <autoFilter ref="A1:L7" xr:uid="{00000000-0009-0000-0000-000005000000}"/>
  <mergeCells count="2">
    <mergeCell ref="B9:L9"/>
    <mergeCell ref="L7:L8"/>
  </mergeCells>
  <hyperlinks>
    <hyperlink ref="H2" r:id="rId1" xr:uid="{00000000-0004-0000-0500-000000000000}"/>
    <hyperlink ref="H3" r:id="rId2" xr:uid="{00000000-0004-0000-0500-000001000000}"/>
    <hyperlink ref="H4" r:id="rId3" xr:uid="{00000000-0004-0000-0500-000002000000}"/>
    <hyperlink ref="H5" r:id="rId4" xr:uid="{00000000-0004-0000-0500-000003000000}"/>
    <hyperlink ref="H6" r:id="rId5" xr:uid="{00000000-0004-0000-0500-000004000000}"/>
    <hyperlink ref="H7" r:id="rId6" xr:uid="{00000000-0004-0000-0500-000005000000}"/>
  </hyperlinks>
  <pageMargins left="0.75" right="0.75" top="1" bottom="1" header="0.5" footer="0.5"/>
  <pageSetup paperSize="8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01 Тест-план</vt:lpstr>
      <vt:lpstr>02 Чек-лист</vt:lpstr>
      <vt:lpstr>03 Тест-кейсы</vt:lpstr>
      <vt:lpstr>04 Сводка</vt:lpstr>
      <vt:lpstr>05 Уточнения</vt:lpstr>
      <vt:lpstr>06 Баг-репорты</vt:lpstr>
      <vt:lpstr>'01 Тест-план'!Заголовки_для_печати</vt:lpstr>
      <vt:lpstr>'02 Чек-лист'!Заголовки_для_печати</vt:lpstr>
      <vt:lpstr>'03 Тест-кейсы'!Заголовки_для_печати</vt:lpstr>
      <vt:lpstr>'04 Сводка'!Заголовки_для_печати</vt:lpstr>
      <vt:lpstr>'05 Уточнения'!Заголовки_для_печати</vt:lpstr>
      <vt:lpstr>'06 Баг-репорты'!Заголовки_для_печати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MIR Pay — Test Plan</dc:title>
  <dc:subject>QA test plan, checklist, test cases and summary</dc:subject>
  <dc:creator>OpenAI</dc:creator>
  <cp:lastModifiedBy>Александр Пирогов</cp:lastModifiedBy>
  <dcterms:created xsi:type="dcterms:W3CDTF">2026-10-21T08:22:29Z</dcterms:created>
  <dcterms:modified xsi:type="dcterms:W3CDTF">2026-10-29T13:39:09Z</dcterms:modified>
</cp:coreProperties>
</file>